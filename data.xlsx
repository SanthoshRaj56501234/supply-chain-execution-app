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/>
  <mc:AlternateContent xmlns:mc="http://schemas.openxmlformats.org/markup-compatibility/2006">
    <mc:Choice Requires="x15">
      <x15ac:absPath xmlns:x15ac="http://schemas.microsoft.com/office/spreadsheetml/2010/11/ac" url="/Users/santhoshrajs/Documents/trim 5/dscpe/41107_end_term/"/>
    </mc:Choice>
  </mc:AlternateContent>
  <xr:revisionPtr revIDLastSave="0" documentId="13_ncr:1_{7D722C94-244F-7549-A474-613E703B0BE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adMe" sheetId="14" r:id="rId1"/>
    <sheet name="Current Open Orders" sheetId="1" r:id="rId2"/>
    <sheet name="Historical Orders" sheetId="16" r:id="rId3"/>
    <sheet name="FG_Projected_supply" sheetId="8" r:id="rId4"/>
    <sheet name="FG_allocation" sheetId="9" r:id="rId5"/>
    <sheet name="Daily Production Schedule" sheetId="12" r:id="rId6"/>
    <sheet name="production_parameters" sheetId="4" r:id="rId7"/>
    <sheet name="BOM" sheetId="2" r:id="rId8"/>
    <sheet name="RM_projected_supply" sheetId="5" r:id="rId9"/>
    <sheet name="sourcing_parameters" sheetId="6" r:id="rId10"/>
    <sheet name="Penalty" sheetId="15" r:id="rId11"/>
    <sheet name="Sheet1" sheetId="17" r:id="rId12"/>
    <sheet name="Sheet2" sheetId="18" r:id="rId13"/>
  </sheets>
  <definedNames>
    <definedName name="_xlnm._FilterDatabase" localSheetId="1" hidden="1">'Current Open Orders'!$A$1:$J$5</definedName>
    <definedName name="_xlnm._FilterDatabase" localSheetId="2" hidden="1">'Historical Orders'!$A$1:$J$391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7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2" i="6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C2" i="18"/>
  <c r="C53" i="17"/>
  <c r="D53" i="17" s="1"/>
  <c r="G53" i="17" s="1"/>
  <c r="H53" i="17" s="1"/>
  <c r="I53" i="17" s="1"/>
  <c r="J53" i="17" s="1"/>
  <c r="K53" i="17" s="1"/>
  <c r="N53" i="17" s="1"/>
  <c r="O53" i="17" s="1"/>
  <c r="P53" i="17" s="1"/>
  <c r="Q53" i="17" s="1"/>
  <c r="R53" i="17" s="1"/>
  <c r="C52" i="17"/>
  <c r="D52" i="17" s="1"/>
  <c r="G52" i="17" s="1"/>
  <c r="H52" i="17" s="1"/>
  <c r="I52" i="17" s="1"/>
  <c r="J52" i="17" s="1"/>
  <c r="K52" i="17" s="1"/>
  <c r="N52" i="17" s="1"/>
  <c r="O52" i="17" s="1"/>
  <c r="P52" i="17" s="1"/>
  <c r="Q52" i="17" s="1"/>
  <c r="R52" i="17" s="1"/>
  <c r="C51" i="17"/>
  <c r="D51" i="17" s="1"/>
  <c r="G51" i="17" s="1"/>
  <c r="H51" i="17" s="1"/>
  <c r="I51" i="17" s="1"/>
  <c r="J51" i="17" s="1"/>
  <c r="K51" i="17" s="1"/>
  <c r="N51" i="17" s="1"/>
  <c r="O51" i="17" s="1"/>
  <c r="P51" i="17" s="1"/>
  <c r="Q51" i="17" s="1"/>
  <c r="R51" i="17" s="1"/>
  <c r="C50" i="17"/>
  <c r="D50" i="17" s="1"/>
  <c r="G50" i="17" s="1"/>
  <c r="H50" i="17" s="1"/>
  <c r="I50" i="17" s="1"/>
  <c r="J50" i="17" s="1"/>
  <c r="K50" i="17" s="1"/>
  <c r="N50" i="17" s="1"/>
  <c r="O50" i="17" s="1"/>
  <c r="P50" i="17" s="1"/>
  <c r="Q50" i="17" s="1"/>
  <c r="R50" i="17" s="1"/>
  <c r="C49" i="17"/>
  <c r="D49" i="17" s="1"/>
  <c r="G49" i="17" s="1"/>
  <c r="H49" i="17" s="1"/>
  <c r="I49" i="17" s="1"/>
  <c r="J49" i="17" s="1"/>
  <c r="K49" i="17" s="1"/>
  <c r="N49" i="17" s="1"/>
  <c r="O49" i="17" s="1"/>
  <c r="P49" i="17" s="1"/>
  <c r="Q49" i="17" s="1"/>
  <c r="R49" i="17" s="1"/>
  <c r="C48" i="17"/>
  <c r="D48" i="17" s="1"/>
  <c r="G48" i="17" s="1"/>
  <c r="H48" i="17" s="1"/>
  <c r="I48" i="17" s="1"/>
  <c r="J48" i="17" s="1"/>
  <c r="K48" i="17" s="1"/>
  <c r="N48" i="17" s="1"/>
  <c r="O48" i="17" s="1"/>
  <c r="P48" i="17" s="1"/>
  <c r="Q48" i="17" s="1"/>
  <c r="R48" i="17" s="1"/>
  <c r="C47" i="17"/>
  <c r="D47" i="17" s="1"/>
  <c r="G47" i="17" s="1"/>
  <c r="H47" i="17" s="1"/>
  <c r="I47" i="17" s="1"/>
  <c r="J47" i="17" s="1"/>
  <c r="K47" i="17" s="1"/>
  <c r="N47" i="17" s="1"/>
  <c r="O47" i="17" s="1"/>
  <c r="P47" i="17" s="1"/>
  <c r="Q47" i="17" s="1"/>
  <c r="R47" i="17" s="1"/>
  <c r="C46" i="17"/>
  <c r="D46" i="17" s="1"/>
  <c r="G46" i="17" s="1"/>
  <c r="H46" i="17" s="1"/>
  <c r="I46" i="17" s="1"/>
  <c r="J46" i="17" s="1"/>
  <c r="K46" i="17" s="1"/>
  <c r="N46" i="17" s="1"/>
  <c r="O46" i="17" s="1"/>
  <c r="P46" i="17" s="1"/>
  <c r="Q46" i="17" s="1"/>
  <c r="R46" i="17" s="1"/>
  <c r="C45" i="17"/>
  <c r="D45" i="17" s="1"/>
  <c r="G45" i="17" s="1"/>
  <c r="H45" i="17" s="1"/>
  <c r="I45" i="17" s="1"/>
  <c r="J45" i="17" s="1"/>
  <c r="K45" i="17" s="1"/>
  <c r="N45" i="17" s="1"/>
  <c r="O45" i="17" s="1"/>
  <c r="P45" i="17" s="1"/>
  <c r="Q45" i="17" s="1"/>
  <c r="R45" i="17" s="1"/>
  <c r="C44" i="17"/>
  <c r="D44" i="17" s="1"/>
  <c r="G44" i="17" s="1"/>
  <c r="H44" i="17" s="1"/>
  <c r="I44" i="17" s="1"/>
  <c r="J44" i="17" s="1"/>
  <c r="K44" i="17" s="1"/>
  <c r="N44" i="17" s="1"/>
  <c r="O44" i="17" s="1"/>
  <c r="P44" i="17" s="1"/>
  <c r="Q44" i="17" s="1"/>
  <c r="R44" i="17" s="1"/>
  <c r="C43" i="17"/>
  <c r="D43" i="17" s="1"/>
  <c r="G43" i="17" s="1"/>
  <c r="H43" i="17" s="1"/>
  <c r="I43" i="17" s="1"/>
  <c r="J43" i="17" s="1"/>
  <c r="K43" i="17" s="1"/>
  <c r="N43" i="17" s="1"/>
  <c r="O43" i="17" s="1"/>
  <c r="P43" i="17" s="1"/>
  <c r="Q43" i="17" s="1"/>
  <c r="R43" i="17" s="1"/>
  <c r="C42" i="17"/>
  <c r="D42" i="17" s="1"/>
  <c r="G42" i="17" s="1"/>
  <c r="H42" i="17" s="1"/>
  <c r="I42" i="17" s="1"/>
  <c r="J42" i="17" s="1"/>
  <c r="K42" i="17" s="1"/>
  <c r="N42" i="17" s="1"/>
  <c r="O42" i="17" s="1"/>
  <c r="P42" i="17" s="1"/>
  <c r="Q42" i="17" s="1"/>
  <c r="R42" i="17" s="1"/>
  <c r="C41" i="17"/>
  <c r="D41" i="17" s="1"/>
  <c r="G41" i="17" s="1"/>
  <c r="H41" i="17" s="1"/>
  <c r="I41" i="17" s="1"/>
  <c r="J41" i="17" s="1"/>
  <c r="K41" i="17" s="1"/>
  <c r="N41" i="17" s="1"/>
  <c r="O41" i="17" s="1"/>
  <c r="P41" i="17" s="1"/>
  <c r="Q41" i="17" s="1"/>
  <c r="R41" i="17" s="1"/>
  <c r="C40" i="17"/>
  <c r="D40" i="17" s="1"/>
  <c r="G40" i="17" s="1"/>
  <c r="H40" i="17" s="1"/>
  <c r="I40" i="17" s="1"/>
  <c r="J40" i="17" s="1"/>
  <c r="K40" i="17" s="1"/>
  <c r="N40" i="17" s="1"/>
  <c r="O40" i="17" s="1"/>
  <c r="P40" i="17" s="1"/>
  <c r="Q40" i="17" s="1"/>
  <c r="R40" i="17" s="1"/>
  <c r="C39" i="17"/>
  <c r="G39" i="17" s="1"/>
  <c r="H39" i="17" s="1"/>
  <c r="I39" i="17" s="1"/>
  <c r="J39" i="17" s="1"/>
  <c r="K39" i="17" s="1"/>
  <c r="N39" i="17" s="1"/>
  <c r="O39" i="17" s="1"/>
  <c r="P39" i="17" s="1"/>
  <c r="Q39" i="17" s="1"/>
  <c r="R39" i="17" s="1"/>
  <c r="J391" i="16"/>
  <c r="I391" i="16"/>
  <c r="J390" i="16"/>
  <c r="I390" i="16"/>
  <c r="J389" i="16"/>
  <c r="I389" i="16"/>
  <c r="J388" i="16"/>
  <c r="I388" i="16"/>
  <c r="J387" i="16"/>
  <c r="I387" i="16"/>
  <c r="J386" i="16"/>
  <c r="I386" i="16"/>
  <c r="J385" i="16"/>
  <c r="I385" i="16"/>
  <c r="J384" i="16"/>
  <c r="I384" i="16"/>
  <c r="J383" i="16"/>
  <c r="I383" i="16"/>
  <c r="J382" i="16"/>
  <c r="I382" i="16"/>
  <c r="J381" i="16"/>
  <c r="I381" i="16"/>
  <c r="J380" i="16"/>
  <c r="I380" i="16"/>
  <c r="J379" i="16"/>
  <c r="I379" i="16"/>
  <c r="J378" i="16"/>
  <c r="I378" i="16"/>
  <c r="J377" i="16"/>
  <c r="I377" i="16"/>
  <c r="J376" i="16"/>
  <c r="I376" i="16"/>
  <c r="J375" i="16"/>
  <c r="I375" i="16"/>
  <c r="J374" i="16"/>
  <c r="I374" i="16"/>
  <c r="J373" i="16"/>
  <c r="I373" i="16"/>
  <c r="J372" i="16"/>
  <c r="I372" i="16"/>
  <c r="J371" i="16"/>
  <c r="I371" i="16"/>
  <c r="J370" i="16"/>
  <c r="I370" i="16"/>
  <c r="J369" i="16"/>
  <c r="I369" i="16"/>
  <c r="J368" i="16"/>
  <c r="I368" i="16"/>
  <c r="J367" i="16"/>
  <c r="I367" i="16"/>
  <c r="J366" i="16"/>
  <c r="I366" i="16"/>
  <c r="J365" i="16"/>
  <c r="I365" i="16"/>
  <c r="J364" i="16"/>
  <c r="I364" i="16"/>
  <c r="J363" i="16"/>
  <c r="I363" i="16"/>
  <c r="J362" i="16"/>
  <c r="I362" i="16"/>
  <c r="J361" i="16"/>
  <c r="I361" i="16"/>
  <c r="J360" i="16"/>
  <c r="I360" i="16"/>
  <c r="J359" i="16"/>
  <c r="I359" i="16"/>
  <c r="J358" i="16"/>
  <c r="I358" i="16"/>
  <c r="J357" i="16"/>
  <c r="I357" i="16"/>
  <c r="J356" i="16"/>
  <c r="I356" i="16"/>
  <c r="J355" i="16"/>
  <c r="I355" i="16"/>
  <c r="J354" i="16"/>
  <c r="I354" i="16"/>
  <c r="J353" i="16"/>
  <c r="I353" i="16"/>
  <c r="J352" i="16"/>
  <c r="I352" i="16"/>
  <c r="J351" i="16"/>
  <c r="I351" i="16"/>
  <c r="J350" i="16"/>
  <c r="I350" i="16"/>
  <c r="J349" i="16"/>
  <c r="I349" i="16"/>
  <c r="J348" i="16"/>
  <c r="I348" i="16"/>
  <c r="J347" i="16"/>
  <c r="I347" i="16"/>
  <c r="J346" i="16"/>
  <c r="I346" i="16"/>
  <c r="J345" i="16"/>
  <c r="I345" i="16"/>
  <c r="J344" i="16"/>
  <c r="I344" i="16"/>
  <c r="J343" i="16"/>
  <c r="I343" i="16"/>
  <c r="J342" i="16"/>
  <c r="I342" i="16"/>
  <c r="J341" i="16"/>
  <c r="I341" i="16"/>
  <c r="J340" i="16"/>
  <c r="I340" i="16"/>
  <c r="J339" i="16"/>
  <c r="I339" i="16"/>
  <c r="J338" i="16"/>
  <c r="I338" i="16"/>
  <c r="J337" i="16"/>
  <c r="I337" i="16"/>
  <c r="J336" i="16"/>
  <c r="I336" i="16"/>
  <c r="J335" i="16"/>
  <c r="I335" i="16"/>
  <c r="J334" i="16"/>
  <c r="I334" i="16"/>
  <c r="J333" i="16"/>
  <c r="I333" i="16"/>
  <c r="J332" i="16"/>
  <c r="I332" i="16"/>
  <c r="J331" i="16"/>
  <c r="I331" i="16"/>
  <c r="J330" i="16"/>
  <c r="I330" i="16"/>
  <c r="J329" i="16"/>
  <c r="I329" i="16"/>
  <c r="J328" i="16"/>
  <c r="I328" i="16"/>
  <c r="J327" i="16"/>
  <c r="I327" i="16"/>
  <c r="J326" i="16"/>
  <c r="I326" i="16"/>
  <c r="J325" i="16"/>
  <c r="I325" i="16"/>
  <c r="J324" i="16"/>
  <c r="I324" i="16"/>
  <c r="J323" i="16"/>
  <c r="I323" i="16"/>
  <c r="J322" i="16"/>
  <c r="I322" i="16"/>
  <c r="J321" i="16"/>
  <c r="I321" i="16"/>
  <c r="J320" i="16"/>
  <c r="I320" i="16"/>
  <c r="J319" i="16"/>
  <c r="I319" i="16"/>
  <c r="J318" i="16"/>
  <c r="I318" i="16"/>
  <c r="J317" i="16"/>
  <c r="I317" i="16"/>
  <c r="J316" i="16"/>
  <c r="I316" i="16"/>
  <c r="J315" i="16"/>
  <c r="I315" i="16"/>
  <c r="J314" i="16"/>
  <c r="I314" i="16"/>
  <c r="J313" i="16"/>
  <c r="I313" i="16"/>
  <c r="J312" i="16"/>
  <c r="I312" i="16"/>
  <c r="J311" i="16"/>
  <c r="I311" i="16"/>
  <c r="J310" i="16"/>
  <c r="I310" i="16"/>
  <c r="J309" i="16"/>
  <c r="I309" i="16"/>
  <c r="J308" i="16"/>
  <c r="I308" i="16"/>
  <c r="J307" i="16"/>
  <c r="I307" i="16"/>
  <c r="J306" i="16"/>
  <c r="I306" i="16"/>
  <c r="J305" i="16"/>
  <c r="I305" i="16"/>
  <c r="J304" i="16"/>
  <c r="I304" i="16"/>
  <c r="J303" i="16"/>
  <c r="I303" i="16"/>
  <c r="J302" i="16"/>
  <c r="I302" i="16"/>
  <c r="J301" i="16"/>
  <c r="I301" i="16"/>
  <c r="J300" i="16"/>
  <c r="I300" i="16"/>
  <c r="J299" i="16"/>
  <c r="I299" i="16"/>
  <c r="J298" i="16"/>
  <c r="I298" i="16"/>
  <c r="J297" i="16"/>
  <c r="I297" i="16"/>
  <c r="J296" i="16"/>
  <c r="I296" i="16"/>
  <c r="J295" i="16"/>
  <c r="I295" i="16"/>
  <c r="J294" i="16"/>
  <c r="I294" i="16"/>
  <c r="J293" i="16"/>
  <c r="I293" i="16"/>
  <c r="J292" i="16"/>
  <c r="I292" i="16"/>
  <c r="J291" i="16"/>
  <c r="I291" i="16"/>
  <c r="J290" i="16"/>
  <c r="I290" i="16"/>
  <c r="J289" i="16"/>
  <c r="I289" i="16"/>
  <c r="J288" i="16"/>
  <c r="I288" i="16"/>
  <c r="J287" i="16"/>
  <c r="I287" i="16"/>
  <c r="J286" i="16"/>
  <c r="I286" i="16"/>
  <c r="J285" i="16"/>
  <c r="I285" i="16"/>
  <c r="J284" i="16"/>
  <c r="I284" i="16"/>
  <c r="J283" i="16"/>
  <c r="I283" i="16"/>
  <c r="J282" i="16"/>
  <c r="I282" i="16"/>
  <c r="J281" i="16"/>
  <c r="I281" i="16"/>
  <c r="J280" i="16"/>
  <c r="I280" i="16"/>
  <c r="J279" i="16"/>
  <c r="I279" i="16"/>
  <c r="J278" i="16"/>
  <c r="I278" i="16"/>
  <c r="J277" i="16"/>
  <c r="I277" i="16"/>
  <c r="J276" i="16"/>
  <c r="I276" i="16"/>
  <c r="J275" i="16"/>
  <c r="I275" i="16"/>
  <c r="J274" i="16"/>
  <c r="I274" i="16"/>
  <c r="J273" i="16"/>
  <c r="I273" i="16"/>
  <c r="J272" i="16"/>
  <c r="I272" i="16"/>
  <c r="J271" i="16"/>
  <c r="I271" i="16"/>
  <c r="J270" i="16"/>
  <c r="I270" i="16"/>
  <c r="J269" i="16"/>
  <c r="I269" i="16"/>
  <c r="J268" i="16"/>
  <c r="I268" i="16"/>
  <c r="J267" i="16"/>
  <c r="I267" i="16"/>
  <c r="J266" i="16"/>
  <c r="I266" i="16"/>
  <c r="J265" i="16"/>
  <c r="I265" i="16"/>
  <c r="J264" i="16"/>
  <c r="I264" i="16"/>
  <c r="J263" i="16"/>
  <c r="I263" i="16"/>
  <c r="J262" i="16"/>
  <c r="I262" i="16"/>
  <c r="J261" i="16"/>
  <c r="I261" i="16"/>
  <c r="J260" i="16"/>
  <c r="I260" i="16"/>
  <c r="J259" i="16"/>
  <c r="I259" i="16"/>
  <c r="J258" i="16"/>
  <c r="I258" i="16"/>
  <c r="J257" i="16"/>
  <c r="I257" i="16"/>
  <c r="J256" i="16"/>
  <c r="I256" i="16"/>
  <c r="J255" i="16"/>
  <c r="I255" i="16"/>
  <c r="J254" i="16"/>
  <c r="I254" i="16"/>
  <c r="J253" i="16"/>
  <c r="I253" i="16"/>
  <c r="J252" i="16"/>
  <c r="I252" i="16"/>
  <c r="J251" i="16"/>
  <c r="I251" i="16"/>
  <c r="J250" i="16"/>
  <c r="I250" i="16"/>
  <c r="J249" i="16"/>
  <c r="I249" i="16"/>
  <c r="J248" i="16"/>
  <c r="I248" i="16"/>
  <c r="J247" i="16"/>
  <c r="I247" i="16"/>
  <c r="J246" i="16"/>
  <c r="I246" i="16"/>
  <c r="J245" i="16"/>
  <c r="I245" i="16"/>
  <c r="J244" i="16"/>
  <c r="I244" i="16"/>
  <c r="J243" i="16"/>
  <c r="I243" i="16"/>
  <c r="J242" i="16"/>
  <c r="I242" i="16"/>
  <c r="J241" i="16"/>
  <c r="I241" i="16"/>
  <c r="J240" i="16"/>
  <c r="I240" i="16"/>
  <c r="J239" i="16"/>
  <c r="I239" i="16"/>
  <c r="J238" i="16"/>
  <c r="I238" i="16"/>
  <c r="J237" i="16"/>
  <c r="I237" i="16"/>
  <c r="J236" i="16"/>
  <c r="I236" i="16"/>
  <c r="J235" i="16"/>
  <c r="I235" i="16"/>
  <c r="J234" i="16"/>
  <c r="I234" i="16"/>
  <c r="J233" i="16"/>
  <c r="I233" i="16"/>
  <c r="J232" i="16"/>
  <c r="I232" i="16"/>
  <c r="J231" i="16"/>
  <c r="I231" i="16"/>
  <c r="J230" i="16"/>
  <c r="I230" i="16"/>
  <c r="J229" i="16"/>
  <c r="I229" i="16"/>
  <c r="J228" i="16"/>
  <c r="I228" i="16"/>
  <c r="J227" i="16"/>
  <c r="I227" i="16"/>
  <c r="J226" i="16"/>
  <c r="I226" i="16"/>
  <c r="J225" i="16"/>
  <c r="I225" i="16"/>
  <c r="J224" i="16"/>
  <c r="I224" i="16"/>
  <c r="J223" i="16"/>
  <c r="I223" i="16"/>
  <c r="J222" i="16"/>
  <c r="I222" i="16"/>
  <c r="J221" i="16"/>
  <c r="I221" i="16"/>
  <c r="J220" i="16"/>
  <c r="I220" i="16"/>
  <c r="J219" i="16"/>
  <c r="I219" i="16"/>
  <c r="J218" i="16"/>
  <c r="I218" i="16"/>
  <c r="J217" i="16"/>
  <c r="I217" i="16"/>
  <c r="J216" i="16"/>
  <c r="I216" i="16"/>
  <c r="J215" i="16"/>
  <c r="I215" i="16"/>
  <c r="J214" i="16"/>
  <c r="I214" i="16"/>
  <c r="J213" i="16"/>
  <c r="I213" i="16"/>
  <c r="J212" i="16"/>
  <c r="I212" i="16"/>
  <c r="J211" i="16"/>
  <c r="I211" i="16"/>
  <c r="J210" i="16"/>
  <c r="I210" i="16"/>
  <c r="J209" i="16"/>
  <c r="I209" i="16"/>
  <c r="J208" i="16"/>
  <c r="I208" i="16"/>
  <c r="J207" i="16"/>
  <c r="I207" i="16"/>
  <c r="J206" i="16"/>
  <c r="I206" i="16"/>
  <c r="J205" i="16"/>
  <c r="I205" i="16"/>
  <c r="J204" i="16"/>
  <c r="I204" i="16"/>
  <c r="J203" i="16"/>
  <c r="I203" i="16"/>
  <c r="J202" i="16"/>
  <c r="I202" i="16"/>
  <c r="J201" i="16"/>
  <c r="I201" i="16"/>
  <c r="J200" i="16"/>
  <c r="I200" i="16"/>
  <c r="J199" i="16"/>
  <c r="I199" i="16"/>
  <c r="J198" i="16"/>
  <c r="I198" i="16"/>
  <c r="J197" i="16"/>
  <c r="I197" i="16"/>
  <c r="J196" i="16"/>
  <c r="I196" i="16"/>
  <c r="J195" i="16"/>
  <c r="I195" i="16"/>
  <c r="J194" i="16"/>
  <c r="I194" i="16"/>
  <c r="J193" i="16"/>
  <c r="I193" i="16"/>
  <c r="J192" i="16"/>
  <c r="I192" i="16"/>
  <c r="J191" i="16"/>
  <c r="I191" i="16"/>
  <c r="J190" i="16"/>
  <c r="I190" i="16"/>
  <c r="J189" i="16"/>
  <c r="I189" i="16"/>
  <c r="J188" i="16"/>
  <c r="I188" i="16"/>
  <c r="J187" i="16"/>
  <c r="I187" i="16"/>
  <c r="J186" i="16"/>
  <c r="I186" i="16"/>
  <c r="J185" i="16"/>
  <c r="I185" i="16"/>
  <c r="J184" i="16"/>
  <c r="I184" i="16"/>
  <c r="J183" i="16"/>
  <c r="I183" i="16"/>
  <c r="J182" i="16"/>
  <c r="I182" i="16"/>
  <c r="J181" i="16"/>
  <c r="I181" i="16"/>
  <c r="J180" i="16"/>
  <c r="I180" i="16"/>
  <c r="J179" i="16"/>
  <c r="I179" i="16"/>
  <c r="J178" i="16"/>
  <c r="I178" i="16"/>
  <c r="J177" i="16"/>
  <c r="I177" i="16"/>
  <c r="J176" i="16"/>
  <c r="I176" i="16"/>
  <c r="J175" i="16"/>
  <c r="I175" i="16"/>
  <c r="J174" i="16"/>
  <c r="I174" i="16"/>
  <c r="J173" i="16"/>
  <c r="I173" i="16"/>
  <c r="J172" i="16"/>
  <c r="I172" i="16"/>
  <c r="J171" i="16"/>
  <c r="I171" i="16"/>
  <c r="J170" i="16"/>
  <c r="I170" i="16"/>
  <c r="J169" i="16"/>
  <c r="I169" i="16"/>
  <c r="J168" i="16"/>
  <c r="I168" i="16"/>
  <c r="J167" i="16"/>
  <c r="I167" i="16"/>
  <c r="J166" i="16"/>
  <c r="I166" i="16"/>
  <c r="J165" i="16"/>
  <c r="I165" i="16"/>
  <c r="J164" i="16"/>
  <c r="I164" i="16"/>
  <c r="J163" i="16"/>
  <c r="I163" i="16"/>
  <c r="J162" i="16"/>
  <c r="I162" i="16"/>
  <c r="J161" i="16"/>
  <c r="I161" i="16"/>
  <c r="J160" i="16"/>
  <c r="I160" i="16"/>
  <c r="J159" i="16"/>
  <c r="I159" i="16"/>
  <c r="J158" i="16"/>
  <c r="I158" i="16"/>
  <c r="J157" i="16"/>
  <c r="I157" i="16"/>
  <c r="J156" i="16"/>
  <c r="I156" i="16"/>
  <c r="J155" i="16"/>
  <c r="I155" i="16"/>
  <c r="J154" i="16"/>
  <c r="I154" i="16"/>
  <c r="J153" i="16"/>
  <c r="I153" i="16"/>
  <c r="J152" i="16"/>
  <c r="I152" i="16"/>
  <c r="J151" i="16"/>
  <c r="I151" i="16"/>
  <c r="J150" i="16"/>
  <c r="I150" i="16"/>
  <c r="J149" i="16"/>
  <c r="I149" i="16"/>
  <c r="J148" i="16"/>
  <c r="I148" i="16"/>
  <c r="J147" i="16"/>
  <c r="I147" i="16"/>
  <c r="J146" i="16"/>
  <c r="I146" i="16"/>
  <c r="J145" i="16"/>
  <c r="I145" i="16"/>
  <c r="J144" i="16"/>
  <c r="I144" i="16"/>
  <c r="J143" i="16"/>
  <c r="I143" i="16"/>
  <c r="J142" i="16"/>
  <c r="I142" i="16"/>
  <c r="J141" i="16"/>
  <c r="I141" i="16"/>
  <c r="J140" i="16"/>
  <c r="I140" i="16"/>
  <c r="J139" i="16"/>
  <c r="I139" i="16"/>
  <c r="J138" i="16"/>
  <c r="I138" i="16"/>
  <c r="J137" i="16"/>
  <c r="I137" i="16"/>
  <c r="J136" i="16"/>
  <c r="I136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I127" i="16"/>
  <c r="J126" i="16"/>
  <c r="I126" i="16"/>
  <c r="J125" i="16"/>
  <c r="I125" i="16"/>
  <c r="J124" i="16"/>
  <c r="I124" i="16"/>
  <c r="J123" i="16"/>
  <c r="I123" i="16"/>
  <c r="J122" i="16"/>
  <c r="I122" i="16"/>
  <c r="J121" i="16"/>
  <c r="I121" i="16"/>
  <c r="J120" i="16"/>
  <c r="I120" i="16"/>
  <c r="J119" i="16"/>
  <c r="I119" i="16"/>
  <c r="J118" i="16"/>
  <c r="I118" i="16"/>
  <c r="J117" i="16"/>
  <c r="I117" i="16"/>
  <c r="J116" i="16"/>
  <c r="I116" i="16"/>
  <c r="J115" i="16"/>
  <c r="I115" i="16"/>
  <c r="J114" i="16"/>
  <c r="I114" i="16"/>
  <c r="J113" i="16"/>
  <c r="I113" i="16"/>
  <c r="J112" i="16"/>
  <c r="I112" i="16"/>
  <c r="J111" i="16"/>
  <c r="I111" i="16"/>
  <c r="J110" i="16"/>
  <c r="I110" i="16"/>
  <c r="J109" i="16"/>
  <c r="I109" i="16"/>
  <c r="J108" i="16"/>
  <c r="I108" i="16"/>
  <c r="J107" i="16"/>
  <c r="I107" i="16"/>
  <c r="J106" i="16"/>
  <c r="I106" i="16"/>
  <c r="J105" i="16"/>
  <c r="I105" i="16"/>
  <c r="J104" i="16"/>
  <c r="I104" i="16"/>
  <c r="J103" i="16"/>
  <c r="I103" i="16"/>
  <c r="J102" i="16"/>
  <c r="I102" i="16"/>
  <c r="J101" i="16"/>
  <c r="I101" i="16"/>
  <c r="J100" i="16"/>
  <c r="I100" i="16"/>
  <c r="J99" i="16"/>
  <c r="I99" i="16"/>
  <c r="J98" i="16"/>
  <c r="I98" i="16"/>
  <c r="J97" i="16"/>
  <c r="I97" i="16"/>
  <c r="J96" i="16"/>
  <c r="I96" i="16"/>
  <c r="J95" i="16"/>
  <c r="I95" i="16"/>
  <c r="J94" i="16"/>
  <c r="I94" i="16"/>
  <c r="J93" i="16"/>
  <c r="I93" i="16"/>
  <c r="J92" i="16"/>
  <c r="I92" i="16"/>
  <c r="J91" i="16"/>
  <c r="I91" i="16"/>
  <c r="J90" i="16"/>
  <c r="I90" i="16"/>
  <c r="J89" i="16"/>
  <c r="I89" i="16"/>
  <c r="J88" i="16"/>
  <c r="I88" i="16"/>
  <c r="J87" i="16"/>
  <c r="I87" i="16"/>
  <c r="J86" i="16"/>
  <c r="I86" i="16"/>
  <c r="J85" i="16"/>
  <c r="I85" i="16"/>
  <c r="J84" i="16"/>
  <c r="I84" i="16"/>
  <c r="J83" i="16"/>
  <c r="I83" i="16"/>
  <c r="J82" i="16"/>
  <c r="I82" i="16"/>
  <c r="J81" i="16"/>
  <c r="I81" i="16"/>
  <c r="J80" i="16"/>
  <c r="I80" i="16"/>
  <c r="J79" i="16"/>
  <c r="I79" i="16"/>
  <c r="J78" i="16"/>
  <c r="I78" i="16"/>
  <c r="J77" i="16"/>
  <c r="I77" i="16"/>
  <c r="J76" i="16"/>
  <c r="I76" i="16"/>
  <c r="J75" i="16"/>
  <c r="I75" i="16"/>
  <c r="J74" i="16"/>
  <c r="I74" i="16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6" i="16"/>
  <c r="I56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J46" i="16"/>
  <c r="I46" i="16"/>
  <c r="J45" i="16"/>
  <c r="I45" i="16"/>
  <c r="J44" i="16"/>
  <c r="I44" i="16"/>
  <c r="J43" i="16"/>
  <c r="I43" i="16"/>
  <c r="J42" i="16"/>
  <c r="I42" i="16"/>
  <c r="J41" i="16"/>
  <c r="I41" i="16"/>
  <c r="J40" i="16"/>
  <c r="I40" i="16"/>
  <c r="J39" i="16"/>
  <c r="I39" i="16"/>
  <c r="J38" i="16"/>
  <c r="I38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  <c r="J4" i="16"/>
  <c r="I4" i="16"/>
  <c r="J3" i="16"/>
  <c r="I3" i="16"/>
  <c r="J2" i="16"/>
  <c r="I2" i="16"/>
  <c r="J2" i="1"/>
  <c r="J3" i="1"/>
  <c r="J4" i="1"/>
  <c r="J5" i="1"/>
  <c r="I2" i="1"/>
  <c r="I3" i="1"/>
  <c r="I4" i="1"/>
  <c r="I5" i="1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F1" i="9"/>
  <c r="H1" i="9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F1" i="8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B10" i="4"/>
</calcChain>
</file>

<file path=xl/sharedStrings.xml><?xml version="1.0" encoding="utf-8"?>
<sst xmlns="http://schemas.openxmlformats.org/spreadsheetml/2006/main" count="2806" uniqueCount="512">
  <si>
    <t>order_id</t>
  </si>
  <si>
    <t>product</t>
  </si>
  <si>
    <t>required_date</t>
  </si>
  <si>
    <t>quantity</t>
  </si>
  <si>
    <t>customer_code</t>
  </si>
  <si>
    <t>customer_desc</t>
  </si>
  <si>
    <t>product_desc</t>
  </si>
  <si>
    <t>required_quantity</t>
  </si>
  <si>
    <t>uom</t>
  </si>
  <si>
    <t>Level</t>
  </si>
  <si>
    <t>Item</t>
  </si>
  <si>
    <t>engine_module</t>
  </si>
  <si>
    <t>back_cover</t>
  </si>
  <si>
    <t>battery</t>
  </si>
  <si>
    <t>user guide</t>
  </si>
  <si>
    <t>charger</t>
  </si>
  <si>
    <t>flash_memory</t>
  </si>
  <si>
    <t>display_panel</t>
  </si>
  <si>
    <t>processor</t>
  </si>
  <si>
    <t>camera_module</t>
  </si>
  <si>
    <t>PCB</t>
  </si>
  <si>
    <t>power_amplifier</t>
  </si>
  <si>
    <t>sensor</t>
  </si>
  <si>
    <t>speaker</t>
  </si>
  <si>
    <t>mircophone</t>
  </si>
  <si>
    <t>RAM</t>
  </si>
  <si>
    <t>EA</t>
  </si>
  <si>
    <t>OD1285</t>
  </si>
  <si>
    <t>OD1503</t>
  </si>
  <si>
    <t>OD1447</t>
  </si>
  <si>
    <t>OD1627</t>
  </si>
  <si>
    <t>OD1383</t>
  </si>
  <si>
    <t>OD1562</t>
  </si>
  <si>
    <t>OD1528</t>
  </si>
  <si>
    <t>OD1583</t>
  </si>
  <si>
    <t>OD1027</t>
  </si>
  <si>
    <t>OD1899</t>
  </si>
  <si>
    <t>OD1236</t>
  </si>
  <si>
    <t>OD1876</t>
  </si>
  <si>
    <t>OD1731</t>
  </si>
  <si>
    <t>OD1708</t>
  </si>
  <si>
    <t>OD1423</t>
  </si>
  <si>
    <t>OD1668</t>
  </si>
  <si>
    <t>OD1173</t>
  </si>
  <si>
    <t>OD1041</t>
  </si>
  <si>
    <t>OD1317</t>
  </si>
  <si>
    <t>OD1242</t>
  </si>
  <si>
    <t>OD1550</t>
  </si>
  <si>
    <t>OD1470</t>
  </si>
  <si>
    <t>OD1237</t>
  </si>
  <si>
    <t>OD1610</t>
  </si>
  <si>
    <t>OD1527</t>
  </si>
  <si>
    <t>OD1300</t>
  </si>
  <si>
    <t>OD1114</t>
  </si>
  <si>
    <t>OD1796</t>
  </si>
  <si>
    <t>OD1509</t>
  </si>
  <si>
    <t>OD1729</t>
  </si>
  <si>
    <t>OD1174</t>
  </si>
  <si>
    <t>OD1662</t>
  </si>
  <si>
    <t>OD1857</t>
  </si>
  <si>
    <t>OD1093</t>
  </si>
  <si>
    <t>OD1025</t>
  </si>
  <si>
    <t>OD1220</t>
  </si>
  <si>
    <t>OD1842</t>
  </si>
  <si>
    <t>OD1634</t>
  </si>
  <si>
    <t>OD1245</t>
  </si>
  <si>
    <t>OD1422</t>
  </si>
  <si>
    <t>OD1232</t>
  </si>
  <si>
    <t>OD1871</t>
  </si>
  <si>
    <t>OD1672</t>
  </si>
  <si>
    <t>OD1076</t>
  </si>
  <si>
    <t>OD1564</t>
  </si>
  <si>
    <t>OD1547</t>
  </si>
  <si>
    <t>OD1125</t>
  </si>
  <si>
    <t>OD1002</t>
  </si>
  <si>
    <t>OD1698</t>
  </si>
  <si>
    <t>OD1525</t>
  </si>
  <si>
    <t>OD1687</t>
  </si>
  <si>
    <t>OD1600</t>
  </si>
  <si>
    <t>OD1385</t>
  </si>
  <si>
    <t>OD1601</t>
  </si>
  <si>
    <t>OD1778</t>
  </si>
  <si>
    <t>OD1616</t>
  </si>
  <si>
    <t>OD1677</t>
  </si>
  <si>
    <t>OD1724</t>
  </si>
  <si>
    <t>OD1849</t>
  </si>
  <si>
    <t>OD1091</t>
  </si>
  <si>
    <t>OD1875</t>
  </si>
  <si>
    <t>OD1460</t>
  </si>
  <si>
    <t>OD1160</t>
  </si>
  <si>
    <t>OD1622</t>
  </si>
  <si>
    <t>OD1580</t>
  </si>
  <si>
    <t>OD1166</t>
  </si>
  <si>
    <t>OD1438</t>
  </si>
  <si>
    <t>OD1235</t>
  </si>
  <si>
    <t>OD1115</t>
  </si>
  <si>
    <t>OD1757</t>
  </si>
  <si>
    <t>OD1419</t>
  </si>
  <si>
    <t>OD1599</t>
  </si>
  <si>
    <t>OD1558</t>
  </si>
  <si>
    <t>OD1012</t>
  </si>
  <si>
    <t>OD1515</t>
  </si>
  <si>
    <t>OD1375</t>
  </si>
  <si>
    <t>OD1081</t>
  </si>
  <si>
    <t>OD1510</t>
  </si>
  <si>
    <t>OD1104</t>
  </si>
  <si>
    <t>OD1612</t>
  </si>
  <si>
    <t>OD1765</t>
  </si>
  <si>
    <t>OD1502</t>
  </si>
  <si>
    <t>OD1643</t>
  </si>
  <si>
    <t>OD1035</t>
  </si>
  <si>
    <t>OD1068</t>
  </si>
  <si>
    <t>OD1631</t>
  </si>
  <si>
    <t>OD1441</t>
  </si>
  <si>
    <t>OD1359</t>
  </si>
  <si>
    <t>OD1156</t>
  </si>
  <si>
    <t>OD1461</t>
  </si>
  <si>
    <t>OD1628</t>
  </si>
  <si>
    <t>OD1861</t>
  </si>
  <si>
    <t>CC24</t>
  </si>
  <si>
    <t>Z22215</t>
  </si>
  <si>
    <t>GenZPhone</t>
  </si>
  <si>
    <t>0010</t>
  </si>
  <si>
    <t>0020</t>
  </si>
  <si>
    <t>0030</t>
  </si>
  <si>
    <t>0040</t>
  </si>
  <si>
    <t>0050</t>
  </si>
  <si>
    <t>CMP12800</t>
  </si>
  <si>
    <t>CMP15169</t>
  </si>
  <si>
    <t>CMP12391</t>
  </si>
  <si>
    <t>CMP19654</t>
  </si>
  <si>
    <t>CMP13058</t>
  </si>
  <si>
    <t>CMP21187</t>
  </si>
  <si>
    <t>CMP26771</t>
  </si>
  <si>
    <t>CMP23821</t>
  </si>
  <si>
    <t>CMP28635</t>
  </si>
  <si>
    <t>CMP15391</t>
  </si>
  <si>
    <t>CMP17473</t>
  </si>
  <si>
    <t>CMP12619</t>
  </si>
  <si>
    <t>CMP25013</t>
  </si>
  <si>
    <t>CMP27957</t>
  </si>
  <si>
    <t>CMP19997</t>
  </si>
  <si>
    <t>0060</t>
  </si>
  <si>
    <t>0070</t>
  </si>
  <si>
    <t>0080</t>
  </si>
  <si>
    <t>0090</t>
  </si>
  <si>
    <t>0100</t>
  </si>
  <si>
    <t>OD2831</t>
  </si>
  <si>
    <t>OD2574</t>
  </si>
  <si>
    <t>OD2140</t>
  </si>
  <si>
    <t>OD2605</t>
  </si>
  <si>
    <t>OD2789</t>
  </si>
  <si>
    <t>OD2682</t>
  </si>
  <si>
    <t>OD2149</t>
  </si>
  <si>
    <t>OD2442</t>
  </si>
  <si>
    <t>OD2224</t>
  </si>
  <si>
    <t>OD2370</t>
  </si>
  <si>
    <t>OD2508</t>
  </si>
  <si>
    <t>OD2128</t>
  </si>
  <si>
    <t>OD2917</t>
  </si>
  <si>
    <t>OD2177</t>
  </si>
  <si>
    <t>OD2094</t>
  </si>
  <si>
    <t>OD2872</t>
  </si>
  <si>
    <t>OD2453</t>
  </si>
  <si>
    <t>OD2481</t>
  </si>
  <si>
    <t>OD2766</t>
  </si>
  <si>
    <t>OD2799</t>
  </si>
  <si>
    <t>OD2284</t>
  </si>
  <si>
    <t>OD2155</t>
  </si>
  <si>
    <t>OD2008</t>
  </si>
  <si>
    <t>OD2642</t>
  </si>
  <si>
    <t>OD2659</t>
  </si>
  <si>
    <t>OD2944</t>
  </si>
  <si>
    <t>OD2807</t>
  </si>
  <si>
    <t>OD2709</t>
  </si>
  <si>
    <t>OD2853</t>
  </si>
  <si>
    <t>OD2043</t>
  </si>
  <si>
    <t>OD2078</t>
  </si>
  <si>
    <t>OD2089</t>
  </si>
  <si>
    <t>OD2842</t>
  </si>
  <si>
    <t>OD2810</t>
  </si>
  <si>
    <t>OD2835</t>
  </si>
  <si>
    <t>OD2371</t>
  </si>
  <si>
    <t>OD2828</t>
  </si>
  <si>
    <t>OD2185</t>
  </si>
  <si>
    <t>OD2028</t>
  </si>
  <si>
    <t>OD2554</t>
  </si>
  <si>
    <t>OD2576</t>
  </si>
  <si>
    <t>OD2531</t>
  </si>
  <si>
    <t>OD2302</t>
  </si>
  <si>
    <t>OD2246</t>
  </si>
  <si>
    <t>OD2591</t>
  </si>
  <si>
    <t>OD2248</t>
  </si>
  <si>
    <t>OD2661</t>
  </si>
  <si>
    <t>OD2025</t>
  </si>
  <si>
    <t>OD2006</t>
  </si>
  <si>
    <t>OD2974</t>
  </si>
  <si>
    <t>OD2505</t>
  </si>
  <si>
    <t>OD2437</t>
  </si>
  <si>
    <t>OD2373</t>
  </si>
  <si>
    <t>OD2422</t>
  </si>
  <si>
    <t>OD2052</t>
  </si>
  <si>
    <t>OD2730</t>
  </si>
  <si>
    <t>OD2048</t>
  </si>
  <si>
    <t>OD2912</t>
  </si>
  <si>
    <t>OD2113</t>
  </si>
  <si>
    <t>OD2536</t>
  </si>
  <si>
    <t>OD2162</t>
  </si>
  <si>
    <t>OD2825</t>
  </si>
  <si>
    <t>OD2934</t>
  </si>
  <si>
    <t>OD2388</t>
  </si>
  <si>
    <t>OD2012</t>
  </si>
  <si>
    <t>OD2891</t>
  </si>
  <si>
    <t>OD2294</t>
  </si>
  <si>
    <t>OD2405</t>
  </si>
  <si>
    <t>OD2920</t>
  </si>
  <si>
    <t>OD2363</t>
  </si>
  <si>
    <t>OD2471</t>
  </si>
  <si>
    <t>OD2060</t>
  </si>
  <si>
    <t>OD2387</t>
  </si>
  <si>
    <t>OD2178</t>
  </si>
  <si>
    <t>OD2894</t>
  </si>
  <si>
    <t>OD2320</t>
  </si>
  <si>
    <t>OD2479</t>
  </si>
  <si>
    <t>OD2041</t>
  </si>
  <si>
    <t>OD2675</t>
  </si>
  <si>
    <t>OD2519</t>
  </si>
  <si>
    <t>OD2009</t>
  </si>
  <si>
    <t>OD2297</t>
  </si>
  <si>
    <t>OD2982</t>
  </si>
  <si>
    <t>OD2433</t>
  </si>
  <si>
    <t>OD2747</t>
  </si>
  <si>
    <t>OD2311</t>
  </si>
  <si>
    <t>OD2084</t>
  </si>
  <si>
    <t>OD2201</t>
  </si>
  <si>
    <t>OD2943</t>
  </si>
  <si>
    <t>OD2838</t>
  </si>
  <si>
    <t>OD2273</t>
  </si>
  <si>
    <t>OD2262</t>
  </si>
  <si>
    <t>OD2222</t>
  </si>
  <si>
    <t>CC25</t>
  </si>
  <si>
    <t>Astro</t>
  </si>
  <si>
    <t>CC26</t>
  </si>
  <si>
    <t>Flipsell</t>
  </si>
  <si>
    <t>OD3040</t>
  </si>
  <si>
    <t>OD3680</t>
  </si>
  <si>
    <t>OD3013</t>
  </si>
  <si>
    <t>OD3413</t>
  </si>
  <si>
    <t>OD3900</t>
  </si>
  <si>
    <t>OD3890</t>
  </si>
  <si>
    <t>OD3001</t>
  </si>
  <si>
    <t>OD3235</t>
  </si>
  <si>
    <t>OD3154</t>
  </si>
  <si>
    <t>OD3652</t>
  </si>
  <si>
    <t>OD3123</t>
  </si>
  <si>
    <t>OD3744</t>
  </si>
  <si>
    <t>OD3550</t>
  </si>
  <si>
    <t>OD3068</t>
  </si>
  <si>
    <t>OD3846</t>
  </si>
  <si>
    <t>OD3002</t>
  </si>
  <si>
    <t>OD3401</t>
  </si>
  <si>
    <t>OD3489</t>
  </si>
  <si>
    <t>OD3873</t>
  </si>
  <si>
    <t>OD3971</t>
  </si>
  <si>
    <t>OD3257</t>
  </si>
  <si>
    <t>OD3667</t>
  </si>
  <si>
    <t>OD3336</t>
  </si>
  <si>
    <t>OD3134</t>
  </si>
  <si>
    <t>OD3320</t>
  </si>
  <si>
    <t>OD3737</t>
  </si>
  <si>
    <t>OD3622</t>
  </si>
  <si>
    <t>OD3691</t>
  </si>
  <si>
    <t>OD3372</t>
  </si>
  <si>
    <t>OD3261</t>
  </si>
  <si>
    <t>OD3528</t>
  </si>
  <si>
    <t>OD3330</t>
  </si>
  <si>
    <t>OD3491</t>
  </si>
  <si>
    <t>OD3561</t>
  </si>
  <si>
    <t>OD3353</t>
  </si>
  <si>
    <t>OD3169</t>
  </si>
  <si>
    <t>OD3916</t>
  </si>
  <si>
    <t>OD3661</t>
  </si>
  <si>
    <t>OD3111</t>
  </si>
  <si>
    <t>OD3299</t>
  </si>
  <si>
    <t>OD3051</t>
  </si>
  <si>
    <t>OD3831</t>
  </si>
  <si>
    <t>OD3333</t>
  </si>
  <si>
    <t>OD3347</t>
  </si>
  <si>
    <t>OD3743</t>
  </si>
  <si>
    <t>OD3177</t>
  </si>
  <si>
    <t>OD3444</t>
  </si>
  <si>
    <t>OD3085</t>
  </si>
  <si>
    <t>OD3553</t>
  </si>
  <si>
    <t>OD3448</t>
  </si>
  <si>
    <t>OD3318</t>
  </si>
  <si>
    <t>OD3579</t>
  </si>
  <si>
    <t>OD3719</t>
  </si>
  <si>
    <t>OD3773</t>
  </si>
  <si>
    <t>OD3968</t>
  </si>
  <si>
    <t>OD3248</t>
  </si>
  <si>
    <t>OD3526</t>
  </si>
  <si>
    <t>OD3329</t>
  </si>
  <si>
    <t>OD3913</t>
  </si>
  <si>
    <t>OD3230</t>
  </si>
  <si>
    <t>OD3441</t>
  </si>
  <si>
    <t>OD3892</t>
  </si>
  <si>
    <t>OD3759</t>
  </si>
  <si>
    <t>OD3722</t>
  </si>
  <si>
    <t>OD3163</t>
  </si>
  <si>
    <t>OD3459</t>
  </si>
  <si>
    <t>OD3328</t>
  </si>
  <si>
    <t>OD3944</t>
  </si>
  <si>
    <t>OD3779</t>
  </si>
  <si>
    <t>OD3585</t>
  </si>
  <si>
    <t>OD3672</t>
  </si>
  <si>
    <t>OD3896</t>
  </si>
  <si>
    <t>OD3386</t>
  </si>
  <si>
    <t>OD3465</t>
  </si>
  <si>
    <t>OD3961</t>
  </si>
  <si>
    <t>OD3588</t>
  </si>
  <si>
    <t>OD3728</t>
  </si>
  <si>
    <t>OD3432</t>
  </si>
  <si>
    <t>OD3509</t>
  </si>
  <si>
    <t>OD3175</t>
  </si>
  <si>
    <t>OD3212</t>
  </si>
  <si>
    <t>OD3453</t>
  </si>
  <si>
    <t>OD3891</t>
  </si>
  <si>
    <t>OD3410</t>
  </si>
  <si>
    <t>OD3510</t>
  </si>
  <si>
    <t>OD3295</t>
  </si>
  <si>
    <t>OD3364</t>
  </si>
  <si>
    <t>OD3007</t>
  </si>
  <si>
    <t>OD3185</t>
  </si>
  <si>
    <t>OD3866</t>
  </si>
  <si>
    <t>OD3677</t>
  </si>
  <si>
    <t>OD3645</t>
  </si>
  <si>
    <t>OD3586</t>
  </si>
  <si>
    <t>OD3625</t>
  </si>
  <si>
    <t>OD3072</t>
  </si>
  <si>
    <t>Tosco</t>
  </si>
  <si>
    <t>OD4192</t>
  </si>
  <si>
    <t>OD4671</t>
  </si>
  <si>
    <t>OD4094</t>
  </si>
  <si>
    <t>OD4331</t>
  </si>
  <si>
    <t>OD4041</t>
  </si>
  <si>
    <t>OD4796</t>
  </si>
  <si>
    <t>OD4309</t>
  </si>
  <si>
    <t>OD4011</t>
  </si>
  <si>
    <t>OD4196</t>
  </si>
  <si>
    <t>OD4507</t>
  </si>
  <si>
    <t>OD4663</t>
  </si>
  <si>
    <t>OD4277</t>
  </si>
  <si>
    <t>OD4805</t>
  </si>
  <si>
    <t>OD4691</t>
  </si>
  <si>
    <t>OD4645</t>
  </si>
  <si>
    <t>OD4481</t>
  </si>
  <si>
    <t>OD4558</t>
  </si>
  <si>
    <t>OD4676</t>
  </si>
  <si>
    <t>OD4459</t>
  </si>
  <si>
    <t>OD4012</t>
  </si>
  <si>
    <t>OD4308</t>
  </si>
  <si>
    <t>OD4021</t>
  </si>
  <si>
    <t>OD4856</t>
  </si>
  <si>
    <t>OD4562</t>
  </si>
  <si>
    <t>OD4359</t>
  </si>
  <si>
    <t>OD4435</t>
  </si>
  <si>
    <t>OD4048</t>
  </si>
  <si>
    <t>OD4449</t>
  </si>
  <si>
    <t>OD4637</t>
  </si>
  <si>
    <t>OD4453</t>
  </si>
  <si>
    <t>OD4867</t>
  </si>
  <si>
    <t>OD4143</t>
  </si>
  <si>
    <t>OD4204</t>
  </si>
  <si>
    <t>OD4814</t>
  </si>
  <si>
    <t>OD4168</t>
  </si>
  <si>
    <t>OD4730</t>
  </si>
  <si>
    <t>OD4180</t>
  </si>
  <si>
    <t>OD4549</t>
  </si>
  <si>
    <t>OD4335</t>
  </si>
  <si>
    <t>OD4696</t>
  </si>
  <si>
    <t>OD4492</t>
  </si>
  <si>
    <t>OD4257</t>
  </si>
  <si>
    <t>OD4672</t>
  </si>
  <si>
    <t>OD4559</t>
  </si>
  <si>
    <t>OD4235</t>
  </si>
  <si>
    <t>OD4371</t>
  </si>
  <si>
    <t>OD4518</t>
  </si>
  <si>
    <t>OD4206</t>
  </si>
  <si>
    <t>OD4420</t>
  </si>
  <si>
    <t>OD4510</t>
  </si>
  <si>
    <t>OD4147</t>
  </si>
  <si>
    <t>OD4424</t>
  </si>
  <si>
    <t>OD4574</t>
  </si>
  <si>
    <t>OD4872</t>
  </si>
  <si>
    <t>OD4400</t>
  </si>
  <si>
    <t>OD4834</t>
  </si>
  <si>
    <t>OD4431</t>
  </si>
  <si>
    <t>OD4823</t>
  </si>
  <si>
    <t>OD4630</t>
  </si>
  <si>
    <t>OD4068</t>
  </si>
  <si>
    <t>OD4467</t>
  </si>
  <si>
    <t>OD4046</t>
  </si>
  <si>
    <t>OD4085</t>
  </si>
  <si>
    <t>OD4028</t>
  </si>
  <si>
    <t>OD4311</t>
  </si>
  <si>
    <t>OD4296</t>
  </si>
  <si>
    <t>OD4157</t>
  </si>
  <si>
    <t>OD4472</t>
  </si>
  <si>
    <t>OD4554</t>
  </si>
  <si>
    <t>OD4670</t>
  </si>
  <si>
    <t>OD4694</t>
  </si>
  <si>
    <t>OD4388</t>
  </si>
  <si>
    <t>OD4501</t>
  </si>
  <si>
    <t>OD4451</t>
  </si>
  <si>
    <t>OD4475</t>
  </si>
  <si>
    <t>OD4783</t>
  </si>
  <si>
    <t>OD4810</t>
  </si>
  <si>
    <t>OD4270</t>
  </si>
  <si>
    <t>OD4310</t>
  </si>
  <si>
    <t>OD4721</t>
  </si>
  <si>
    <t>OD4258</t>
  </si>
  <si>
    <t>OD4183</t>
  </si>
  <si>
    <t>OD4191</t>
  </si>
  <si>
    <t>OD4604</t>
  </si>
  <si>
    <t>OD4016</t>
  </si>
  <si>
    <t>OD4328</t>
  </si>
  <si>
    <t>OD4370</t>
  </si>
  <si>
    <t>OD4640</t>
  </si>
  <si>
    <t>OD4750</t>
  </si>
  <si>
    <t>OD4873</t>
  </si>
  <si>
    <t>OD4852</t>
  </si>
  <si>
    <t>OD4457</t>
  </si>
  <si>
    <t>OD4447</t>
  </si>
  <si>
    <t>OD4100</t>
  </si>
  <si>
    <t>CC27</t>
  </si>
  <si>
    <t>Frozen_period</t>
  </si>
  <si>
    <t>Pixel</t>
  </si>
  <si>
    <t>CMP13929</t>
  </si>
  <si>
    <t>deliverybox</t>
  </si>
  <si>
    <t>working days</t>
  </si>
  <si>
    <t>total_module_line</t>
  </si>
  <si>
    <t>total_assembly_line</t>
  </si>
  <si>
    <t>working_daysperweek</t>
  </si>
  <si>
    <t>electricity</t>
  </si>
  <si>
    <t>transportation</t>
  </si>
  <si>
    <t>food</t>
  </si>
  <si>
    <t>park</t>
  </si>
  <si>
    <t>import</t>
  </si>
  <si>
    <t>local</t>
  </si>
  <si>
    <t>source_type</t>
  </si>
  <si>
    <t>material_desc</t>
  </si>
  <si>
    <t>material</t>
  </si>
  <si>
    <t>value</t>
  </si>
  <si>
    <t>item</t>
  </si>
  <si>
    <t>days</t>
  </si>
  <si>
    <t>days/week</t>
  </si>
  <si>
    <t>line</t>
  </si>
  <si>
    <t>shift/day</t>
  </si>
  <si>
    <t>INR</t>
  </si>
  <si>
    <t>current_operational_shifts</t>
  </si>
  <si>
    <t>EA/shift</t>
  </si>
  <si>
    <t>Z22215_module_linecapacity</t>
  </si>
  <si>
    <t>Z22215_assembly_linecapacity</t>
  </si>
  <si>
    <t>location</t>
  </si>
  <si>
    <t>DC_central</t>
  </si>
  <si>
    <t>type</t>
  </si>
  <si>
    <t xml:space="preserve"> - </t>
  </si>
  <si>
    <t xml:space="preserve"> -</t>
  </si>
  <si>
    <t>supplier_leadtime</t>
  </si>
  <si>
    <t>on_hand</t>
  </si>
  <si>
    <t>scheduled_receipt</t>
  </si>
  <si>
    <t>DC_park</t>
  </si>
  <si>
    <t>year</t>
  </si>
  <si>
    <t>week_no</t>
  </si>
  <si>
    <t>Today Date</t>
  </si>
  <si>
    <t>2024 WK 15</t>
  </si>
  <si>
    <t>Your Role</t>
  </si>
  <si>
    <t>Order Manager</t>
  </si>
  <si>
    <t>Task</t>
  </si>
  <si>
    <t>1. Review Open Orders for WK16</t>
  </si>
  <si>
    <t>Data You have</t>
  </si>
  <si>
    <t xml:space="preserve">Historical Orders </t>
  </si>
  <si>
    <t>Current Open Orders</t>
  </si>
  <si>
    <t>Projected Finished Goods Supply</t>
  </si>
  <si>
    <t>Daily production Schedule for Current +2 Weeks</t>
  </si>
  <si>
    <t>Production Planning Parameters</t>
  </si>
  <si>
    <t>shift_allowance(only for evening/night)</t>
  </si>
  <si>
    <t>Total operational_cost_pershift</t>
  </si>
  <si>
    <t>RM Projected Supply</t>
  </si>
  <si>
    <t>Bill of Material</t>
  </si>
  <si>
    <t>Sourcing Parameters</t>
  </si>
  <si>
    <t>total_Fgsupply (Opening Inventory)</t>
  </si>
  <si>
    <t>Qty_Miss_Penalty</t>
  </si>
  <si>
    <t>Customer Wise Finished Good Allocation ratio</t>
  </si>
  <si>
    <t>Penalty</t>
  </si>
  <si>
    <t>Selling_price</t>
  </si>
  <si>
    <t>2. Identify the available stocks and allocated supply to each customers</t>
  </si>
  <si>
    <t>3. Provide Confirmation for WK16 Regular Orders</t>
  </si>
  <si>
    <t>5. Calculate the additional production and cost required to meet the bulk orders</t>
  </si>
  <si>
    <t>Current + 3</t>
  </si>
  <si>
    <t>lead_time_normal</t>
  </si>
  <si>
    <t>lead_time_express</t>
  </si>
  <si>
    <t>3. Identify and Classify If any bulk orders present with appropriate logic using historical orders</t>
  </si>
  <si>
    <t xml:space="preserve">4. Provide the estimated supply date for Bulk Order </t>
  </si>
  <si>
    <t>6. What is the final order confirmation status (Order quantity and Confirmed Date for each Order)</t>
  </si>
  <si>
    <t>7. Summarise the final financial Implications after final order confirmation</t>
  </si>
  <si>
    <t>MATERIAL REQUIREMENT PLAN</t>
  </si>
  <si>
    <t>PRODUCTION PLAN</t>
  </si>
  <si>
    <t>NORMAL LT</t>
  </si>
  <si>
    <t>EXPRESS LT</t>
  </si>
  <si>
    <t>lead_time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</si>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</sst>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14" fontId="0" fillId="0" borderId="0" xfId="0" applyNumberFormat="1" applyAlignment="1">
      <alignment textRotation="90" wrapText="1"/>
    </xf>
    <xf numFmtId="0" fontId="0" fillId="2" borderId="0" xfId="0" applyFill="1"/>
    <xf numFmtId="14" fontId="0" fillId="2" borderId="0" xfId="0" applyNumberFormat="1" applyFill="1" applyAlignment="1">
      <alignment textRotation="90" wrapText="1"/>
    </xf>
    <xf numFmtId="0" fontId="2" fillId="0" borderId="0" xfId="0" applyFont="1"/>
    <xf numFmtId="9" fontId="0" fillId="0" borderId="0" xfId="0" applyNumberFormat="1"/>
    <xf numFmtId="10" fontId="0" fillId="0" borderId="0" xfId="0" applyNumberFormat="1"/>
    <xf numFmtId="0" fontId="3" fillId="3" borderId="0" xfId="0" applyFont="1" applyFill="1"/>
    <xf numFmtId="0" fontId="3" fillId="0" borderId="0" xfId="0" applyFont="1"/>
    <xf numFmtId="0" fontId="3" fillId="2" borderId="0" xfId="0" applyFont="1" applyFill="1"/>
    <xf numFmtId="0" fontId="3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18D4-0452-0544-BFFB-DB7F6D380052}">
  <dimension ref="B2:D24"/>
  <sheetViews>
    <sheetView tabSelected="1" workbookViewId="0">
      <selection activeCell="B10" sqref="B10"/>
    </sheetView>
  </sheetViews>
  <sheetFormatPr baseColWidth="10" defaultColWidth="10.83203125" defaultRowHeight="15" x14ac:dyDescent="0.2"/>
  <cols>
    <col min="2" max="2" width="79.33203125" bestFit="1" customWidth="1"/>
    <col min="3" max="3" width="12.33203125" bestFit="1" customWidth="1"/>
  </cols>
  <sheetData>
    <row r="2" spans="2:4" x14ac:dyDescent="0.2">
      <c r="B2" t="s">
        <v>476</v>
      </c>
      <c r="C2" t="s">
        <v>477</v>
      </c>
    </row>
    <row r="3" spans="2:4" x14ac:dyDescent="0.2">
      <c r="B3" t="s">
        <v>474</v>
      </c>
      <c r="C3" s="1">
        <v>45026</v>
      </c>
      <c r="D3" t="s">
        <v>475</v>
      </c>
    </row>
    <row r="4" spans="2:4" x14ac:dyDescent="0.2">
      <c r="B4" s="11" t="s">
        <v>478</v>
      </c>
    </row>
    <row r="5" spans="2:4" x14ac:dyDescent="0.2">
      <c r="B5" t="s">
        <v>479</v>
      </c>
    </row>
    <row r="6" spans="2:4" x14ac:dyDescent="0.2">
      <c r="B6" t="s">
        <v>496</v>
      </c>
    </row>
    <row r="7" spans="2:4" x14ac:dyDescent="0.2">
      <c r="B7" t="s">
        <v>502</v>
      </c>
    </row>
    <row r="8" spans="2:4" x14ac:dyDescent="0.2">
      <c r="B8" t="s">
        <v>497</v>
      </c>
    </row>
    <row r="9" spans="2:4" x14ac:dyDescent="0.2">
      <c r="B9" t="s">
        <v>503</v>
      </c>
    </row>
    <row r="10" spans="2:4" x14ac:dyDescent="0.2">
      <c r="B10" t="s">
        <v>498</v>
      </c>
    </row>
    <row r="11" spans="2:4" x14ac:dyDescent="0.2">
      <c r="B11" t="s">
        <v>504</v>
      </c>
    </row>
    <row r="12" spans="2:4" x14ac:dyDescent="0.2">
      <c r="B12" t="s">
        <v>505</v>
      </c>
    </row>
    <row r="14" spans="2:4" x14ac:dyDescent="0.2">
      <c r="B14" s="11" t="s">
        <v>480</v>
      </c>
    </row>
    <row r="15" spans="2:4" x14ac:dyDescent="0.2">
      <c r="B15" s="3" t="s">
        <v>481</v>
      </c>
    </row>
    <row r="16" spans="2:4" x14ac:dyDescent="0.2">
      <c r="B16" s="3" t="s">
        <v>482</v>
      </c>
    </row>
    <row r="17" spans="2:2" x14ac:dyDescent="0.2">
      <c r="B17" s="3" t="s">
        <v>483</v>
      </c>
    </row>
    <row r="18" spans="2:2" x14ac:dyDescent="0.2">
      <c r="B18" s="3" t="s">
        <v>484</v>
      </c>
    </row>
    <row r="19" spans="2:2" x14ac:dyDescent="0.2">
      <c r="B19" s="3" t="s">
        <v>485</v>
      </c>
    </row>
    <row r="20" spans="2:2" x14ac:dyDescent="0.2">
      <c r="B20" s="3" t="s">
        <v>489</v>
      </c>
    </row>
    <row r="21" spans="2:2" x14ac:dyDescent="0.2">
      <c r="B21" s="3" t="s">
        <v>488</v>
      </c>
    </row>
    <row r="22" spans="2:2" x14ac:dyDescent="0.2">
      <c r="B22" s="3" t="s">
        <v>490</v>
      </c>
    </row>
    <row r="23" spans="2:2" x14ac:dyDescent="0.2">
      <c r="B23" s="3" t="s">
        <v>493</v>
      </c>
    </row>
    <row r="24" spans="2:2" x14ac:dyDescent="0.2">
      <c r="B24" s="3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F2" sqref="F2"/>
    </sheetView>
  </sheetViews>
  <sheetFormatPr baseColWidth="10" defaultColWidth="8.83203125" defaultRowHeight="15" x14ac:dyDescent="0.2"/>
  <cols>
    <col min="3" max="3" width="12.1640625" bestFit="1" customWidth="1"/>
    <col min="4" max="4" width="12.1640625" customWidth="1"/>
    <col min="5" max="5" width="12.6640625" bestFit="1" customWidth="1"/>
    <col min="6" max="6" width="8.5" customWidth="1"/>
    <col min="7" max="7" width="13.6640625" bestFit="1" customWidth="1"/>
    <col min="8" max="8" width="17" bestFit="1" customWidth="1"/>
  </cols>
  <sheetData>
    <row r="1" spans="1:10" x14ac:dyDescent="0.2">
      <c r="A1" t="s">
        <v>0</v>
      </c>
      <c r="B1" t="s">
        <v>1</v>
      </c>
      <c r="C1" t="s">
        <v>6</v>
      </c>
      <c r="D1" t="s">
        <v>463</v>
      </c>
      <c r="E1" t="s">
        <v>2</v>
      </c>
      <c r="F1" t="s">
        <v>3</v>
      </c>
      <c r="G1" t="s">
        <v>4</v>
      </c>
      <c r="H1" t="s">
        <v>5</v>
      </c>
      <c r="I1" t="s">
        <v>472</v>
      </c>
      <c r="J1" t="s">
        <v>473</v>
      </c>
    </row>
    <row r="2" spans="1:10" x14ac:dyDescent="0.2">
      <c r="A2" t="s">
        <v>36</v>
      </c>
      <c r="B2" t="s">
        <v>120</v>
      </c>
      <c r="C2" t="s">
        <v>121</v>
      </c>
      <c r="D2" t="s">
        <v>464</v>
      </c>
      <c r="E2" s="1">
        <v>45033</v>
      </c>
      <c r="F2">
        <v>11300</v>
      </c>
      <c r="G2" t="s">
        <v>119</v>
      </c>
      <c r="H2" t="s">
        <v>436</v>
      </c>
      <c r="I2">
        <f t="shared" ref="I2" si="0">YEAR(E2)</f>
        <v>2023</v>
      </c>
      <c r="J2">
        <f t="shared" ref="J2" si="1">_xlfn.ISOWEEKNUM(E2)</f>
        <v>16</v>
      </c>
    </row>
    <row r="3" spans="1:10" x14ac:dyDescent="0.2">
      <c r="A3" t="s">
        <v>229</v>
      </c>
      <c r="B3" t="s">
        <v>120</v>
      </c>
      <c r="C3" t="s">
        <v>121</v>
      </c>
      <c r="D3" t="s">
        <v>464</v>
      </c>
      <c r="E3" s="1">
        <v>45037</v>
      </c>
      <c r="F3">
        <v>4700</v>
      </c>
      <c r="G3" t="s">
        <v>240</v>
      </c>
      <c r="H3" t="s">
        <v>241</v>
      </c>
      <c r="I3">
        <f t="shared" ref="I3" si="2">YEAR(E3)</f>
        <v>2023</v>
      </c>
      <c r="J3">
        <f t="shared" ref="J3" si="3">_xlfn.ISOWEEKNUM(E3)</f>
        <v>16</v>
      </c>
    </row>
    <row r="4" spans="1:10" x14ac:dyDescent="0.2">
      <c r="A4" t="s">
        <v>263</v>
      </c>
      <c r="B4" t="s">
        <v>120</v>
      </c>
      <c r="C4" t="s">
        <v>121</v>
      </c>
      <c r="D4" t="s">
        <v>464</v>
      </c>
      <c r="E4" s="1">
        <v>45037</v>
      </c>
      <c r="F4">
        <v>6121</v>
      </c>
      <c r="G4" t="s">
        <v>242</v>
      </c>
      <c r="H4" t="s">
        <v>243</v>
      </c>
      <c r="I4">
        <f t="shared" ref="I4" si="4">YEAR(E4)</f>
        <v>2023</v>
      </c>
      <c r="J4">
        <f t="shared" ref="J4" si="5">_xlfn.ISOWEEKNUM(E4)</f>
        <v>16</v>
      </c>
    </row>
    <row r="5" spans="1:10" x14ac:dyDescent="0.2">
      <c r="A5" t="s">
        <v>429</v>
      </c>
      <c r="B5" t="s">
        <v>120</v>
      </c>
      <c r="C5" t="s">
        <v>121</v>
      </c>
      <c r="D5" t="s">
        <v>464</v>
      </c>
      <c r="E5" s="1">
        <v>45037</v>
      </c>
      <c r="F5">
        <v>1490</v>
      </c>
      <c r="G5" t="s">
        <v>434</v>
      </c>
      <c r="H5" t="s">
        <v>339</v>
      </c>
      <c r="I5">
        <f t="shared" ref="I5" si="6">YEAR(E5)</f>
        <v>2023</v>
      </c>
      <c r="J5">
        <f t="shared" ref="J5" si="7">_xlfn.ISOWEEKNUM(E5)</f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68F3-F0FE-A647-A10A-BC613F0F08EC}">
  <dimension ref="A1:J391"/>
  <sheetViews>
    <sheetView workbookViewId="0">
      <selection activeCell="M164" sqref="M164"/>
    </sheetView>
  </sheetViews>
  <sheetFormatPr baseColWidth="10" defaultColWidth="8.83203125" defaultRowHeight="15" x14ac:dyDescent="0.2"/>
  <cols>
    <col min="3" max="3" width="12.1640625" bestFit="1" customWidth="1"/>
    <col min="4" max="4" width="12.1640625" customWidth="1"/>
    <col min="5" max="5" width="12.6640625" bestFit="1" customWidth="1"/>
    <col min="6" max="6" width="9.5" customWidth="1"/>
    <col min="7" max="7" width="13.6640625" bestFit="1" customWidth="1"/>
    <col min="8" max="8" width="17" bestFit="1" customWidth="1"/>
    <col min="12" max="12" width="12.33203125" bestFit="1" customWidth="1"/>
    <col min="13" max="13" width="17.5" bestFit="1" customWidth="1"/>
  </cols>
  <sheetData>
    <row r="1" spans="1:10" x14ac:dyDescent="0.2">
      <c r="A1" t="s">
        <v>0</v>
      </c>
      <c r="B1" t="s">
        <v>1</v>
      </c>
      <c r="C1" t="s">
        <v>6</v>
      </c>
      <c r="D1" t="s">
        <v>463</v>
      </c>
      <c r="E1" t="s">
        <v>2</v>
      </c>
      <c r="F1" t="s">
        <v>3</v>
      </c>
      <c r="G1" t="s">
        <v>4</v>
      </c>
      <c r="H1" t="s">
        <v>5</v>
      </c>
      <c r="I1" t="s">
        <v>472</v>
      </c>
      <c r="J1" t="s">
        <v>473</v>
      </c>
    </row>
    <row r="2" spans="1:10" x14ac:dyDescent="0.2">
      <c r="A2" t="s">
        <v>74</v>
      </c>
      <c r="B2" t="s">
        <v>120</v>
      </c>
      <c r="C2" t="s">
        <v>121</v>
      </c>
      <c r="D2" t="s">
        <v>464</v>
      </c>
      <c r="E2" s="1">
        <v>44340</v>
      </c>
      <c r="F2">
        <v>3190</v>
      </c>
      <c r="G2" t="s">
        <v>119</v>
      </c>
      <c r="H2" t="s">
        <v>436</v>
      </c>
      <c r="I2">
        <f>YEAR(E2)</f>
        <v>2021</v>
      </c>
      <c r="J2">
        <f>_xlfn.ISOWEEKNUM(E2)</f>
        <v>21</v>
      </c>
    </row>
    <row r="3" spans="1:10" x14ac:dyDescent="0.2">
      <c r="A3" t="s">
        <v>100</v>
      </c>
      <c r="B3" t="s">
        <v>120</v>
      </c>
      <c r="C3" t="s">
        <v>121</v>
      </c>
      <c r="D3" t="s">
        <v>464</v>
      </c>
      <c r="E3" s="1">
        <v>44347</v>
      </c>
      <c r="F3">
        <v>2920</v>
      </c>
      <c r="G3" t="s">
        <v>119</v>
      </c>
      <c r="H3" t="s">
        <v>436</v>
      </c>
      <c r="I3">
        <f t="shared" ref="I3:I66" si="0">YEAR(E3)</f>
        <v>2021</v>
      </c>
      <c r="J3">
        <f t="shared" ref="J3:J66" si="1">_xlfn.ISOWEEKNUM(E3)</f>
        <v>22</v>
      </c>
    </row>
    <row r="4" spans="1:10" x14ac:dyDescent="0.2">
      <c r="A4" t="s">
        <v>61</v>
      </c>
      <c r="B4" t="s">
        <v>120</v>
      </c>
      <c r="C4" t="s">
        <v>121</v>
      </c>
      <c r="D4" t="s">
        <v>464</v>
      </c>
      <c r="E4" s="1">
        <v>44354</v>
      </c>
      <c r="F4">
        <v>3270</v>
      </c>
      <c r="G4" t="s">
        <v>119</v>
      </c>
      <c r="H4" t="s">
        <v>436</v>
      </c>
      <c r="I4">
        <f t="shared" si="0"/>
        <v>2021</v>
      </c>
      <c r="J4">
        <f t="shared" si="1"/>
        <v>23</v>
      </c>
    </row>
    <row r="5" spans="1:10" x14ac:dyDescent="0.2">
      <c r="A5" t="s">
        <v>35</v>
      </c>
      <c r="B5" t="s">
        <v>120</v>
      </c>
      <c r="C5" t="s">
        <v>121</v>
      </c>
      <c r="D5" t="s">
        <v>464</v>
      </c>
      <c r="E5" s="1">
        <v>44361</v>
      </c>
      <c r="F5">
        <v>3180</v>
      </c>
      <c r="G5" t="s">
        <v>119</v>
      </c>
      <c r="H5" t="s">
        <v>436</v>
      </c>
      <c r="I5">
        <f t="shared" si="0"/>
        <v>2021</v>
      </c>
      <c r="J5">
        <f t="shared" si="1"/>
        <v>24</v>
      </c>
    </row>
    <row r="6" spans="1:10" x14ac:dyDescent="0.2">
      <c r="A6" t="s">
        <v>110</v>
      </c>
      <c r="B6" t="s">
        <v>120</v>
      </c>
      <c r="C6" t="s">
        <v>121</v>
      </c>
      <c r="D6" t="s">
        <v>464</v>
      </c>
      <c r="E6" s="1">
        <v>44368</v>
      </c>
      <c r="F6">
        <v>3020</v>
      </c>
      <c r="G6" t="s">
        <v>119</v>
      </c>
      <c r="H6" t="s">
        <v>436</v>
      </c>
      <c r="I6">
        <f t="shared" si="0"/>
        <v>2021</v>
      </c>
      <c r="J6">
        <f t="shared" si="1"/>
        <v>25</v>
      </c>
    </row>
    <row r="7" spans="1:10" x14ac:dyDescent="0.2">
      <c r="A7" t="s">
        <v>44</v>
      </c>
      <c r="B7" t="s">
        <v>120</v>
      </c>
      <c r="C7" t="s">
        <v>121</v>
      </c>
      <c r="D7" t="s">
        <v>464</v>
      </c>
      <c r="E7" s="1">
        <v>44375</v>
      </c>
      <c r="F7">
        <v>3290</v>
      </c>
      <c r="G7" t="s">
        <v>119</v>
      </c>
      <c r="H7" t="s">
        <v>436</v>
      </c>
      <c r="I7">
        <f t="shared" si="0"/>
        <v>2021</v>
      </c>
      <c r="J7">
        <f t="shared" si="1"/>
        <v>26</v>
      </c>
    </row>
    <row r="8" spans="1:10" x14ac:dyDescent="0.2">
      <c r="A8" t="s">
        <v>111</v>
      </c>
      <c r="B8" t="s">
        <v>120</v>
      </c>
      <c r="C8" t="s">
        <v>121</v>
      </c>
      <c r="D8" t="s">
        <v>464</v>
      </c>
      <c r="E8" s="1">
        <v>44382</v>
      </c>
      <c r="F8">
        <v>3000</v>
      </c>
      <c r="G8" t="s">
        <v>119</v>
      </c>
      <c r="H8" t="s">
        <v>436</v>
      </c>
      <c r="I8">
        <f t="shared" si="0"/>
        <v>2021</v>
      </c>
      <c r="J8">
        <f t="shared" si="1"/>
        <v>27</v>
      </c>
    </row>
    <row r="9" spans="1:10" x14ac:dyDescent="0.2">
      <c r="A9" t="s">
        <v>70</v>
      </c>
      <c r="B9" t="s">
        <v>120</v>
      </c>
      <c r="C9" t="s">
        <v>121</v>
      </c>
      <c r="D9" t="s">
        <v>464</v>
      </c>
      <c r="E9" s="1">
        <v>44389</v>
      </c>
      <c r="F9">
        <v>3110</v>
      </c>
      <c r="G9" t="s">
        <v>119</v>
      </c>
      <c r="H9" t="s">
        <v>436</v>
      </c>
      <c r="I9">
        <f t="shared" si="0"/>
        <v>2021</v>
      </c>
      <c r="J9">
        <f t="shared" si="1"/>
        <v>28</v>
      </c>
    </row>
    <row r="10" spans="1:10" x14ac:dyDescent="0.2">
      <c r="A10" t="s">
        <v>70</v>
      </c>
      <c r="B10" t="s">
        <v>120</v>
      </c>
      <c r="C10" t="s">
        <v>121</v>
      </c>
      <c r="D10" t="s">
        <v>464</v>
      </c>
      <c r="E10" s="1">
        <v>44396</v>
      </c>
      <c r="F10">
        <v>2810</v>
      </c>
      <c r="G10" t="s">
        <v>119</v>
      </c>
      <c r="H10" t="s">
        <v>436</v>
      </c>
      <c r="I10">
        <f t="shared" si="0"/>
        <v>2021</v>
      </c>
      <c r="J10">
        <f t="shared" si="1"/>
        <v>29</v>
      </c>
    </row>
    <row r="11" spans="1:10" x14ac:dyDescent="0.2">
      <c r="A11" t="s">
        <v>103</v>
      </c>
      <c r="B11" t="s">
        <v>120</v>
      </c>
      <c r="C11" t="s">
        <v>121</v>
      </c>
      <c r="D11" t="s">
        <v>464</v>
      </c>
      <c r="E11" s="1">
        <v>44403</v>
      </c>
      <c r="F11">
        <v>2940</v>
      </c>
      <c r="G11" t="s">
        <v>119</v>
      </c>
      <c r="H11" t="s">
        <v>436</v>
      </c>
      <c r="I11">
        <f t="shared" si="0"/>
        <v>2021</v>
      </c>
      <c r="J11">
        <f t="shared" si="1"/>
        <v>30</v>
      </c>
    </row>
    <row r="12" spans="1:10" x14ac:dyDescent="0.2">
      <c r="A12" t="s">
        <v>86</v>
      </c>
      <c r="B12" t="s">
        <v>120</v>
      </c>
      <c r="C12" t="s">
        <v>121</v>
      </c>
      <c r="D12" t="s">
        <v>464</v>
      </c>
      <c r="E12" s="1">
        <v>44410</v>
      </c>
      <c r="F12">
        <v>3110</v>
      </c>
      <c r="G12" t="s">
        <v>119</v>
      </c>
      <c r="H12" t="s">
        <v>436</v>
      </c>
      <c r="I12">
        <f t="shared" si="0"/>
        <v>2021</v>
      </c>
      <c r="J12">
        <f t="shared" si="1"/>
        <v>31</v>
      </c>
    </row>
    <row r="13" spans="1:10" x14ac:dyDescent="0.2">
      <c r="A13" t="s">
        <v>60</v>
      </c>
      <c r="B13" t="s">
        <v>120</v>
      </c>
      <c r="C13" t="s">
        <v>121</v>
      </c>
      <c r="D13" t="s">
        <v>464</v>
      </c>
      <c r="E13" s="1">
        <v>44417</v>
      </c>
      <c r="F13">
        <v>3230</v>
      </c>
      <c r="G13" t="s">
        <v>119</v>
      </c>
      <c r="H13" t="s">
        <v>436</v>
      </c>
      <c r="I13">
        <f t="shared" si="0"/>
        <v>2021</v>
      </c>
      <c r="J13">
        <f t="shared" si="1"/>
        <v>32</v>
      </c>
    </row>
    <row r="14" spans="1:10" x14ac:dyDescent="0.2">
      <c r="A14" t="s">
        <v>105</v>
      </c>
      <c r="B14" t="s">
        <v>120</v>
      </c>
      <c r="C14" t="s">
        <v>121</v>
      </c>
      <c r="D14" t="s">
        <v>464</v>
      </c>
      <c r="E14" s="1">
        <v>44424</v>
      </c>
      <c r="F14">
        <v>2990</v>
      </c>
      <c r="G14" t="s">
        <v>119</v>
      </c>
      <c r="H14" t="s">
        <v>436</v>
      </c>
      <c r="I14">
        <f t="shared" si="0"/>
        <v>2021</v>
      </c>
      <c r="J14">
        <f t="shared" si="1"/>
        <v>33</v>
      </c>
    </row>
    <row r="15" spans="1:10" x14ac:dyDescent="0.2">
      <c r="A15" t="s">
        <v>53</v>
      </c>
      <c r="B15" t="s">
        <v>120</v>
      </c>
      <c r="C15" t="s">
        <v>121</v>
      </c>
      <c r="D15" t="s">
        <v>464</v>
      </c>
      <c r="E15" s="1">
        <v>44431</v>
      </c>
      <c r="F15">
        <v>3070</v>
      </c>
      <c r="G15" t="s">
        <v>119</v>
      </c>
      <c r="H15" t="s">
        <v>436</v>
      </c>
      <c r="I15">
        <f t="shared" si="0"/>
        <v>2021</v>
      </c>
      <c r="J15">
        <f t="shared" si="1"/>
        <v>34</v>
      </c>
    </row>
    <row r="16" spans="1:10" x14ac:dyDescent="0.2">
      <c r="A16" t="s">
        <v>95</v>
      </c>
      <c r="B16" t="s">
        <v>120</v>
      </c>
      <c r="C16" t="s">
        <v>121</v>
      </c>
      <c r="D16" t="s">
        <v>464</v>
      </c>
      <c r="E16" s="1">
        <v>44438</v>
      </c>
      <c r="F16">
        <v>3230</v>
      </c>
      <c r="G16" t="s">
        <v>119</v>
      </c>
      <c r="H16" t="s">
        <v>436</v>
      </c>
      <c r="I16">
        <f t="shared" si="0"/>
        <v>2021</v>
      </c>
      <c r="J16">
        <f t="shared" si="1"/>
        <v>35</v>
      </c>
    </row>
    <row r="17" spans="1:10" x14ac:dyDescent="0.2">
      <c r="A17" t="s">
        <v>73</v>
      </c>
      <c r="B17" t="s">
        <v>120</v>
      </c>
      <c r="C17" t="s">
        <v>121</v>
      </c>
      <c r="D17" t="s">
        <v>464</v>
      </c>
      <c r="E17" s="1">
        <v>44445</v>
      </c>
      <c r="F17">
        <v>2800</v>
      </c>
      <c r="G17" t="s">
        <v>119</v>
      </c>
      <c r="H17" t="s">
        <v>436</v>
      </c>
      <c r="I17">
        <f t="shared" si="0"/>
        <v>2021</v>
      </c>
      <c r="J17">
        <f t="shared" si="1"/>
        <v>36</v>
      </c>
    </row>
    <row r="18" spans="1:10" x14ac:dyDescent="0.2">
      <c r="A18" t="s">
        <v>115</v>
      </c>
      <c r="B18" t="s">
        <v>120</v>
      </c>
      <c r="C18" t="s">
        <v>121</v>
      </c>
      <c r="D18" t="s">
        <v>464</v>
      </c>
      <c r="E18" s="1">
        <v>44452</v>
      </c>
      <c r="F18">
        <v>2880</v>
      </c>
      <c r="G18" t="s">
        <v>119</v>
      </c>
      <c r="H18" t="s">
        <v>436</v>
      </c>
      <c r="I18">
        <f t="shared" si="0"/>
        <v>2021</v>
      </c>
      <c r="J18">
        <f t="shared" si="1"/>
        <v>37</v>
      </c>
    </row>
    <row r="19" spans="1:10" x14ac:dyDescent="0.2">
      <c r="A19" t="s">
        <v>89</v>
      </c>
      <c r="B19" t="s">
        <v>120</v>
      </c>
      <c r="C19" t="s">
        <v>121</v>
      </c>
      <c r="D19" t="s">
        <v>464</v>
      </c>
      <c r="E19" s="1">
        <v>44459</v>
      </c>
      <c r="F19">
        <v>2860</v>
      </c>
      <c r="G19" t="s">
        <v>119</v>
      </c>
      <c r="H19" t="s">
        <v>436</v>
      </c>
      <c r="I19">
        <f t="shared" si="0"/>
        <v>2021</v>
      </c>
      <c r="J19">
        <f t="shared" si="1"/>
        <v>38</v>
      </c>
    </row>
    <row r="20" spans="1:10" x14ac:dyDescent="0.2">
      <c r="A20" t="s">
        <v>89</v>
      </c>
      <c r="B20" t="s">
        <v>120</v>
      </c>
      <c r="C20" t="s">
        <v>121</v>
      </c>
      <c r="D20" t="s">
        <v>464</v>
      </c>
      <c r="E20" s="1">
        <v>44466</v>
      </c>
      <c r="F20">
        <v>2950</v>
      </c>
      <c r="G20" t="s">
        <v>119</v>
      </c>
      <c r="H20" t="s">
        <v>436</v>
      </c>
      <c r="I20">
        <f t="shared" si="0"/>
        <v>2021</v>
      </c>
      <c r="J20">
        <f t="shared" si="1"/>
        <v>39</v>
      </c>
    </row>
    <row r="21" spans="1:10" x14ac:dyDescent="0.2">
      <c r="A21" t="s">
        <v>92</v>
      </c>
      <c r="B21" t="s">
        <v>120</v>
      </c>
      <c r="C21" t="s">
        <v>121</v>
      </c>
      <c r="D21" t="s">
        <v>464</v>
      </c>
      <c r="E21" s="1">
        <v>44473</v>
      </c>
      <c r="F21">
        <v>3250</v>
      </c>
      <c r="G21" t="s">
        <v>119</v>
      </c>
      <c r="H21" t="s">
        <v>436</v>
      </c>
      <c r="I21">
        <f t="shared" si="0"/>
        <v>2021</v>
      </c>
      <c r="J21">
        <f t="shared" si="1"/>
        <v>40</v>
      </c>
    </row>
    <row r="22" spans="1:10" x14ac:dyDescent="0.2">
      <c r="A22" t="s">
        <v>43</v>
      </c>
      <c r="B22" t="s">
        <v>120</v>
      </c>
      <c r="C22" t="s">
        <v>121</v>
      </c>
      <c r="D22" t="s">
        <v>464</v>
      </c>
      <c r="E22" s="1">
        <v>44480</v>
      </c>
      <c r="F22">
        <v>3050</v>
      </c>
      <c r="G22" t="s">
        <v>119</v>
      </c>
      <c r="H22" t="s">
        <v>436</v>
      </c>
      <c r="I22">
        <f t="shared" si="0"/>
        <v>2021</v>
      </c>
      <c r="J22">
        <f t="shared" si="1"/>
        <v>41</v>
      </c>
    </row>
    <row r="23" spans="1:10" x14ac:dyDescent="0.2">
      <c r="A23" t="s">
        <v>57</v>
      </c>
      <c r="B23" t="s">
        <v>120</v>
      </c>
      <c r="C23" t="s">
        <v>121</v>
      </c>
      <c r="D23" t="s">
        <v>464</v>
      </c>
      <c r="E23" s="1">
        <v>44487</v>
      </c>
      <c r="F23">
        <v>2950</v>
      </c>
      <c r="G23" t="s">
        <v>119</v>
      </c>
      <c r="H23" t="s">
        <v>436</v>
      </c>
      <c r="I23">
        <f t="shared" si="0"/>
        <v>2021</v>
      </c>
      <c r="J23">
        <f t="shared" si="1"/>
        <v>42</v>
      </c>
    </row>
    <row r="24" spans="1:10" x14ac:dyDescent="0.2">
      <c r="A24" t="s">
        <v>62</v>
      </c>
      <c r="B24" t="s">
        <v>120</v>
      </c>
      <c r="C24" t="s">
        <v>121</v>
      </c>
      <c r="D24" t="s">
        <v>464</v>
      </c>
      <c r="E24" s="1">
        <v>44494</v>
      </c>
      <c r="F24">
        <v>2850</v>
      </c>
      <c r="G24" t="s">
        <v>119</v>
      </c>
      <c r="H24" t="s">
        <v>436</v>
      </c>
      <c r="I24">
        <f t="shared" si="0"/>
        <v>2021</v>
      </c>
      <c r="J24">
        <f t="shared" si="1"/>
        <v>43</v>
      </c>
    </row>
    <row r="25" spans="1:10" x14ac:dyDescent="0.2">
      <c r="A25" t="s">
        <v>67</v>
      </c>
      <c r="B25" t="s">
        <v>120</v>
      </c>
      <c r="C25" t="s">
        <v>121</v>
      </c>
      <c r="D25" t="s">
        <v>464</v>
      </c>
      <c r="E25" s="1">
        <v>44501</v>
      </c>
      <c r="F25">
        <v>2950</v>
      </c>
      <c r="G25" t="s">
        <v>119</v>
      </c>
      <c r="H25" t="s">
        <v>436</v>
      </c>
      <c r="I25">
        <f t="shared" si="0"/>
        <v>2021</v>
      </c>
      <c r="J25">
        <f t="shared" si="1"/>
        <v>44</v>
      </c>
    </row>
    <row r="26" spans="1:10" x14ac:dyDescent="0.2">
      <c r="A26" t="s">
        <v>67</v>
      </c>
      <c r="B26" t="s">
        <v>120</v>
      </c>
      <c r="C26" t="s">
        <v>121</v>
      </c>
      <c r="D26" t="s">
        <v>464</v>
      </c>
      <c r="E26" s="1">
        <v>44508</v>
      </c>
      <c r="F26">
        <v>2990</v>
      </c>
      <c r="G26" t="s">
        <v>119</v>
      </c>
      <c r="H26" t="s">
        <v>436</v>
      </c>
      <c r="I26">
        <f t="shared" si="0"/>
        <v>2021</v>
      </c>
      <c r="J26">
        <f t="shared" si="1"/>
        <v>45</v>
      </c>
    </row>
    <row r="27" spans="1:10" x14ac:dyDescent="0.2">
      <c r="A27" t="s">
        <v>94</v>
      </c>
      <c r="B27" t="s">
        <v>120</v>
      </c>
      <c r="C27" t="s">
        <v>121</v>
      </c>
      <c r="D27" t="s">
        <v>464</v>
      </c>
      <c r="E27" s="1">
        <v>44515</v>
      </c>
      <c r="F27">
        <v>2840</v>
      </c>
      <c r="G27" t="s">
        <v>119</v>
      </c>
      <c r="H27" t="s">
        <v>436</v>
      </c>
      <c r="I27">
        <f t="shared" si="0"/>
        <v>2021</v>
      </c>
      <c r="J27">
        <f t="shared" si="1"/>
        <v>46</v>
      </c>
    </row>
    <row r="28" spans="1:10" x14ac:dyDescent="0.2">
      <c r="A28" t="s">
        <v>37</v>
      </c>
      <c r="B28" t="s">
        <v>120</v>
      </c>
      <c r="C28" t="s">
        <v>121</v>
      </c>
      <c r="D28" t="s">
        <v>464</v>
      </c>
      <c r="E28" s="1">
        <v>44522</v>
      </c>
      <c r="F28">
        <v>3180</v>
      </c>
      <c r="G28" t="s">
        <v>119</v>
      </c>
      <c r="H28" t="s">
        <v>436</v>
      </c>
      <c r="I28">
        <f t="shared" si="0"/>
        <v>2021</v>
      </c>
      <c r="J28">
        <f t="shared" si="1"/>
        <v>47</v>
      </c>
    </row>
    <row r="29" spans="1:10" x14ac:dyDescent="0.2">
      <c r="A29" t="s">
        <v>49</v>
      </c>
      <c r="B29" t="s">
        <v>120</v>
      </c>
      <c r="C29" t="s">
        <v>121</v>
      </c>
      <c r="D29" t="s">
        <v>464</v>
      </c>
      <c r="E29" s="1">
        <v>44529</v>
      </c>
      <c r="F29">
        <v>2980</v>
      </c>
      <c r="G29" t="s">
        <v>119</v>
      </c>
      <c r="H29" t="s">
        <v>436</v>
      </c>
      <c r="I29">
        <f t="shared" si="0"/>
        <v>2021</v>
      </c>
      <c r="J29">
        <f t="shared" si="1"/>
        <v>48</v>
      </c>
    </row>
    <row r="30" spans="1:10" x14ac:dyDescent="0.2">
      <c r="A30" t="s">
        <v>46</v>
      </c>
      <c r="B30" t="s">
        <v>120</v>
      </c>
      <c r="C30" t="s">
        <v>121</v>
      </c>
      <c r="D30" t="s">
        <v>464</v>
      </c>
      <c r="E30" s="1">
        <v>44536</v>
      </c>
      <c r="F30">
        <v>2920</v>
      </c>
      <c r="G30" t="s">
        <v>119</v>
      </c>
      <c r="H30" t="s">
        <v>436</v>
      </c>
      <c r="I30">
        <f t="shared" si="0"/>
        <v>2021</v>
      </c>
      <c r="J30">
        <f t="shared" si="1"/>
        <v>49</v>
      </c>
    </row>
    <row r="31" spans="1:10" x14ac:dyDescent="0.2">
      <c r="A31" t="s">
        <v>65</v>
      </c>
      <c r="B31" t="s">
        <v>120</v>
      </c>
      <c r="C31" t="s">
        <v>121</v>
      </c>
      <c r="D31" t="s">
        <v>464</v>
      </c>
      <c r="E31" s="1">
        <v>44543</v>
      </c>
      <c r="F31">
        <v>2870</v>
      </c>
      <c r="G31" t="s">
        <v>119</v>
      </c>
      <c r="H31" t="s">
        <v>436</v>
      </c>
      <c r="I31">
        <f t="shared" si="0"/>
        <v>2021</v>
      </c>
      <c r="J31">
        <f t="shared" si="1"/>
        <v>50</v>
      </c>
    </row>
    <row r="32" spans="1:10" x14ac:dyDescent="0.2">
      <c r="A32" t="s">
        <v>27</v>
      </c>
      <c r="B32" t="s">
        <v>120</v>
      </c>
      <c r="C32" t="s">
        <v>121</v>
      </c>
      <c r="D32" t="s">
        <v>464</v>
      </c>
      <c r="E32" s="1">
        <v>44550</v>
      </c>
      <c r="F32">
        <v>3100</v>
      </c>
      <c r="G32" t="s">
        <v>119</v>
      </c>
      <c r="H32" t="s">
        <v>436</v>
      </c>
      <c r="I32">
        <f t="shared" si="0"/>
        <v>2021</v>
      </c>
      <c r="J32">
        <f t="shared" si="1"/>
        <v>51</v>
      </c>
    </row>
    <row r="33" spans="1:10" x14ac:dyDescent="0.2">
      <c r="A33" t="s">
        <v>52</v>
      </c>
      <c r="B33" t="s">
        <v>120</v>
      </c>
      <c r="C33" t="s">
        <v>121</v>
      </c>
      <c r="D33" t="s">
        <v>464</v>
      </c>
      <c r="E33" s="1">
        <v>44557</v>
      </c>
      <c r="F33">
        <v>3010</v>
      </c>
      <c r="G33" t="s">
        <v>119</v>
      </c>
      <c r="H33" t="s">
        <v>436</v>
      </c>
      <c r="I33">
        <f t="shared" si="0"/>
        <v>2021</v>
      </c>
      <c r="J33">
        <f t="shared" si="1"/>
        <v>52</v>
      </c>
    </row>
    <row r="34" spans="1:10" x14ac:dyDescent="0.2">
      <c r="A34" t="s">
        <v>45</v>
      </c>
      <c r="B34" t="s">
        <v>120</v>
      </c>
      <c r="C34" t="s">
        <v>121</v>
      </c>
      <c r="D34" t="s">
        <v>464</v>
      </c>
      <c r="E34" s="1">
        <v>44564</v>
      </c>
      <c r="F34">
        <v>3080</v>
      </c>
      <c r="G34" t="s">
        <v>119</v>
      </c>
      <c r="H34" t="s">
        <v>436</v>
      </c>
      <c r="I34">
        <f t="shared" si="0"/>
        <v>2022</v>
      </c>
      <c r="J34">
        <f t="shared" si="1"/>
        <v>1</v>
      </c>
    </row>
    <row r="35" spans="1:10" x14ac:dyDescent="0.2">
      <c r="A35" t="s">
        <v>114</v>
      </c>
      <c r="B35" t="s">
        <v>120</v>
      </c>
      <c r="C35" t="s">
        <v>121</v>
      </c>
      <c r="D35" t="s">
        <v>464</v>
      </c>
      <c r="E35" s="1">
        <v>44571</v>
      </c>
      <c r="F35">
        <v>3080</v>
      </c>
      <c r="G35" t="s">
        <v>119</v>
      </c>
      <c r="H35" t="s">
        <v>436</v>
      </c>
      <c r="I35">
        <f t="shared" si="0"/>
        <v>2022</v>
      </c>
      <c r="J35">
        <f t="shared" si="1"/>
        <v>2</v>
      </c>
    </row>
    <row r="36" spans="1:10" x14ac:dyDescent="0.2">
      <c r="A36" t="s">
        <v>102</v>
      </c>
      <c r="B36" t="s">
        <v>120</v>
      </c>
      <c r="C36" t="s">
        <v>121</v>
      </c>
      <c r="D36" t="s">
        <v>464</v>
      </c>
      <c r="E36" s="1">
        <v>44578</v>
      </c>
      <c r="F36">
        <v>2930</v>
      </c>
      <c r="G36" t="s">
        <v>119</v>
      </c>
      <c r="H36" t="s">
        <v>436</v>
      </c>
      <c r="I36">
        <f t="shared" si="0"/>
        <v>2022</v>
      </c>
      <c r="J36">
        <f t="shared" si="1"/>
        <v>3</v>
      </c>
    </row>
    <row r="37" spans="1:10" x14ac:dyDescent="0.2">
      <c r="A37" t="s">
        <v>31</v>
      </c>
      <c r="B37" t="s">
        <v>120</v>
      </c>
      <c r="C37" t="s">
        <v>121</v>
      </c>
      <c r="D37" t="s">
        <v>464</v>
      </c>
      <c r="E37" s="1">
        <v>44585</v>
      </c>
      <c r="F37">
        <v>3290</v>
      </c>
      <c r="G37" t="s">
        <v>119</v>
      </c>
      <c r="H37" t="s">
        <v>436</v>
      </c>
      <c r="I37">
        <f t="shared" si="0"/>
        <v>2022</v>
      </c>
      <c r="J37">
        <f t="shared" si="1"/>
        <v>4</v>
      </c>
    </row>
    <row r="38" spans="1:10" x14ac:dyDescent="0.2">
      <c r="A38" t="s">
        <v>79</v>
      </c>
      <c r="B38" t="s">
        <v>120</v>
      </c>
      <c r="C38" t="s">
        <v>121</v>
      </c>
      <c r="D38" t="s">
        <v>464</v>
      </c>
      <c r="E38" s="1">
        <v>44592</v>
      </c>
      <c r="F38">
        <v>2800</v>
      </c>
      <c r="G38" t="s">
        <v>119</v>
      </c>
      <c r="H38" t="s">
        <v>436</v>
      </c>
      <c r="I38">
        <f t="shared" si="0"/>
        <v>2022</v>
      </c>
      <c r="J38">
        <f t="shared" si="1"/>
        <v>5</v>
      </c>
    </row>
    <row r="39" spans="1:10" x14ac:dyDescent="0.2">
      <c r="A39" t="s">
        <v>97</v>
      </c>
      <c r="B39" t="s">
        <v>120</v>
      </c>
      <c r="C39" t="s">
        <v>121</v>
      </c>
      <c r="D39" t="s">
        <v>464</v>
      </c>
      <c r="E39" s="1">
        <v>44599</v>
      </c>
      <c r="F39">
        <v>9890</v>
      </c>
      <c r="G39" t="s">
        <v>119</v>
      </c>
      <c r="H39" t="s">
        <v>436</v>
      </c>
      <c r="I39">
        <f t="shared" si="0"/>
        <v>2022</v>
      </c>
      <c r="J39">
        <f t="shared" si="1"/>
        <v>6</v>
      </c>
    </row>
    <row r="40" spans="1:10" x14ac:dyDescent="0.2">
      <c r="A40" t="s">
        <v>66</v>
      </c>
      <c r="B40" t="s">
        <v>120</v>
      </c>
      <c r="C40" t="s">
        <v>121</v>
      </c>
      <c r="D40" t="s">
        <v>464</v>
      </c>
      <c r="E40" s="1">
        <v>44606</v>
      </c>
      <c r="F40">
        <v>2890</v>
      </c>
      <c r="G40" t="s">
        <v>119</v>
      </c>
      <c r="H40" t="s">
        <v>436</v>
      </c>
      <c r="I40">
        <f t="shared" si="0"/>
        <v>2022</v>
      </c>
      <c r="J40">
        <f t="shared" si="1"/>
        <v>7</v>
      </c>
    </row>
    <row r="41" spans="1:10" x14ac:dyDescent="0.2">
      <c r="A41" t="s">
        <v>41</v>
      </c>
      <c r="B41" t="s">
        <v>120</v>
      </c>
      <c r="C41" t="s">
        <v>121</v>
      </c>
      <c r="D41" t="s">
        <v>464</v>
      </c>
      <c r="E41" s="1">
        <v>44613</v>
      </c>
      <c r="F41">
        <v>3220</v>
      </c>
      <c r="G41" t="s">
        <v>119</v>
      </c>
      <c r="H41" t="s">
        <v>436</v>
      </c>
      <c r="I41">
        <f t="shared" si="0"/>
        <v>2022</v>
      </c>
      <c r="J41">
        <f t="shared" si="1"/>
        <v>8</v>
      </c>
    </row>
    <row r="42" spans="1:10" x14ac:dyDescent="0.2">
      <c r="A42" t="s">
        <v>93</v>
      </c>
      <c r="B42" t="s">
        <v>120</v>
      </c>
      <c r="C42" t="s">
        <v>121</v>
      </c>
      <c r="D42" t="s">
        <v>464</v>
      </c>
      <c r="E42" s="1">
        <v>44620</v>
      </c>
      <c r="F42">
        <v>2950</v>
      </c>
      <c r="G42" t="s">
        <v>119</v>
      </c>
      <c r="H42" t="s">
        <v>436</v>
      </c>
      <c r="I42">
        <f t="shared" si="0"/>
        <v>2022</v>
      </c>
      <c r="J42">
        <f t="shared" si="1"/>
        <v>9</v>
      </c>
    </row>
    <row r="43" spans="1:10" x14ac:dyDescent="0.2">
      <c r="A43" t="s">
        <v>113</v>
      </c>
      <c r="B43" t="s">
        <v>120</v>
      </c>
      <c r="C43" t="s">
        <v>121</v>
      </c>
      <c r="D43" t="s">
        <v>464</v>
      </c>
      <c r="E43" s="1">
        <v>44627</v>
      </c>
      <c r="F43">
        <v>3220</v>
      </c>
      <c r="G43" t="s">
        <v>119</v>
      </c>
      <c r="H43" t="s">
        <v>436</v>
      </c>
      <c r="I43">
        <f t="shared" si="0"/>
        <v>2022</v>
      </c>
      <c r="J43">
        <f t="shared" si="1"/>
        <v>10</v>
      </c>
    </row>
    <row r="44" spans="1:10" x14ac:dyDescent="0.2">
      <c r="A44" t="s">
        <v>29</v>
      </c>
      <c r="B44" t="s">
        <v>120</v>
      </c>
      <c r="C44" t="s">
        <v>121</v>
      </c>
      <c r="D44" t="s">
        <v>464</v>
      </c>
      <c r="E44" s="1">
        <v>44634</v>
      </c>
      <c r="F44">
        <v>2890</v>
      </c>
      <c r="G44" t="s">
        <v>119</v>
      </c>
      <c r="H44" t="s">
        <v>436</v>
      </c>
      <c r="I44">
        <f t="shared" si="0"/>
        <v>2022</v>
      </c>
      <c r="J44">
        <f t="shared" si="1"/>
        <v>11</v>
      </c>
    </row>
    <row r="45" spans="1:10" x14ac:dyDescent="0.2">
      <c r="A45" t="s">
        <v>88</v>
      </c>
      <c r="B45" t="s">
        <v>120</v>
      </c>
      <c r="C45" t="s">
        <v>121</v>
      </c>
      <c r="D45" t="s">
        <v>464</v>
      </c>
      <c r="E45" s="1">
        <v>44641</v>
      </c>
      <c r="F45">
        <v>3030</v>
      </c>
      <c r="G45" t="s">
        <v>119</v>
      </c>
      <c r="H45" t="s">
        <v>436</v>
      </c>
      <c r="I45">
        <f t="shared" si="0"/>
        <v>2022</v>
      </c>
      <c r="J45">
        <f t="shared" si="1"/>
        <v>12</v>
      </c>
    </row>
    <row r="46" spans="1:10" x14ac:dyDescent="0.2">
      <c r="A46" t="s">
        <v>116</v>
      </c>
      <c r="B46" t="s">
        <v>120</v>
      </c>
      <c r="C46" t="s">
        <v>121</v>
      </c>
      <c r="D46" t="s">
        <v>464</v>
      </c>
      <c r="E46" s="1">
        <v>44648</v>
      </c>
      <c r="F46">
        <v>3110</v>
      </c>
      <c r="G46" t="s">
        <v>119</v>
      </c>
      <c r="H46" t="s">
        <v>436</v>
      </c>
      <c r="I46">
        <f t="shared" si="0"/>
        <v>2022</v>
      </c>
      <c r="J46">
        <f t="shared" si="1"/>
        <v>13</v>
      </c>
    </row>
    <row r="47" spans="1:10" x14ac:dyDescent="0.2">
      <c r="A47" t="s">
        <v>48</v>
      </c>
      <c r="B47" t="s">
        <v>120</v>
      </c>
      <c r="C47" t="s">
        <v>121</v>
      </c>
      <c r="D47" t="s">
        <v>464</v>
      </c>
      <c r="E47" s="1">
        <v>44655</v>
      </c>
      <c r="F47">
        <v>3290</v>
      </c>
      <c r="G47" t="s">
        <v>119</v>
      </c>
      <c r="H47" t="s">
        <v>436</v>
      </c>
      <c r="I47">
        <f t="shared" si="0"/>
        <v>2022</v>
      </c>
      <c r="J47">
        <f t="shared" si="1"/>
        <v>14</v>
      </c>
    </row>
    <row r="48" spans="1:10" x14ac:dyDescent="0.2">
      <c r="A48" t="s">
        <v>108</v>
      </c>
      <c r="B48" t="s">
        <v>120</v>
      </c>
      <c r="C48" t="s">
        <v>121</v>
      </c>
      <c r="D48" t="s">
        <v>464</v>
      </c>
      <c r="E48" s="1">
        <v>44662</v>
      </c>
      <c r="F48">
        <v>2880</v>
      </c>
      <c r="G48" t="s">
        <v>119</v>
      </c>
      <c r="H48" t="s">
        <v>436</v>
      </c>
      <c r="I48">
        <f t="shared" si="0"/>
        <v>2022</v>
      </c>
      <c r="J48">
        <f t="shared" si="1"/>
        <v>15</v>
      </c>
    </row>
    <row r="49" spans="1:10" x14ac:dyDescent="0.2">
      <c r="A49" t="s">
        <v>28</v>
      </c>
      <c r="B49" t="s">
        <v>120</v>
      </c>
      <c r="C49" t="s">
        <v>121</v>
      </c>
      <c r="D49" t="s">
        <v>464</v>
      </c>
      <c r="E49" s="1">
        <v>44669</v>
      </c>
      <c r="F49">
        <v>3020</v>
      </c>
      <c r="G49" t="s">
        <v>119</v>
      </c>
      <c r="H49" t="s">
        <v>436</v>
      </c>
      <c r="I49">
        <f t="shared" si="0"/>
        <v>2022</v>
      </c>
      <c r="J49">
        <f t="shared" si="1"/>
        <v>16</v>
      </c>
    </row>
    <row r="50" spans="1:10" x14ac:dyDescent="0.2">
      <c r="A50" t="s">
        <v>55</v>
      </c>
      <c r="B50" t="s">
        <v>120</v>
      </c>
      <c r="C50" t="s">
        <v>121</v>
      </c>
      <c r="D50" t="s">
        <v>464</v>
      </c>
      <c r="E50" s="1">
        <v>44676</v>
      </c>
      <c r="F50">
        <v>3110</v>
      </c>
      <c r="G50" t="s">
        <v>119</v>
      </c>
      <c r="H50" t="s">
        <v>436</v>
      </c>
      <c r="I50">
        <f t="shared" si="0"/>
        <v>2022</v>
      </c>
      <c r="J50">
        <f t="shared" si="1"/>
        <v>17</v>
      </c>
    </row>
    <row r="51" spans="1:10" x14ac:dyDescent="0.2">
      <c r="A51" t="s">
        <v>104</v>
      </c>
      <c r="B51" t="s">
        <v>120</v>
      </c>
      <c r="C51" t="s">
        <v>121</v>
      </c>
      <c r="D51" t="s">
        <v>464</v>
      </c>
      <c r="E51" s="1">
        <v>44683</v>
      </c>
      <c r="F51">
        <v>3000</v>
      </c>
      <c r="G51" t="s">
        <v>119</v>
      </c>
      <c r="H51" t="s">
        <v>436</v>
      </c>
      <c r="I51">
        <f t="shared" si="0"/>
        <v>2022</v>
      </c>
      <c r="J51">
        <f t="shared" si="1"/>
        <v>18</v>
      </c>
    </row>
    <row r="52" spans="1:10" x14ac:dyDescent="0.2">
      <c r="A52" t="s">
        <v>101</v>
      </c>
      <c r="B52" t="s">
        <v>120</v>
      </c>
      <c r="C52" t="s">
        <v>121</v>
      </c>
      <c r="D52" t="s">
        <v>464</v>
      </c>
      <c r="E52" s="1">
        <v>44690</v>
      </c>
      <c r="F52">
        <v>3260</v>
      </c>
      <c r="G52" t="s">
        <v>119</v>
      </c>
      <c r="H52" t="s">
        <v>436</v>
      </c>
      <c r="I52">
        <f t="shared" si="0"/>
        <v>2022</v>
      </c>
      <c r="J52">
        <f t="shared" si="1"/>
        <v>19</v>
      </c>
    </row>
    <row r="53" spans="1:10" x14ac:dyDescent="0.2">
      <c r="A53" t="s">
        <v>76</v>
      </c>
      <c r="B53" t="s">
        <v>120</v>
      </c>
      <c r="C53" t="s">
        <v>121</v>
      </c>
      <c r="D53" t="s">
        <v>464</v>
      </c>
      <c r="E53" s="1">
        <v>44697</v>
      </c>
      <c r="F53">
        <v>2940</v>
      </c>
      <c r="G53" t="s">
        <v>119</v>
      </c>
      <c r="H53" t="s">
        <v>436</v>
      </c>
      <c r="I53">
        <f t="shared" si="0"/>
        <v>2022</v>
      </c>
      <c r="J53">
        <f t="shared" si="1"/>
        <v>20</v>
      </c>
    </row>
    <row r="54" spans="1:10" x14ac:dyDescent="0.2">
      <c r="A54" t="s">
        <v>51</v>
      </c>
      <c r="B54" t="s">
        <v>120</v>
      </c>
      <c r="C54" t="s">
        <v>121</v>
      </c>
      <c r="D54" t="s">
        <v>464</v>
      </c>
      <c r="E54" s="1">
        <v>44704</v>
      </c>
      <c r="F54">
        <v>3120</v>
      </c>
      <c r="G54" t="s">
        <v>119</v>
      </c>
      <c r="H54" t="s">
        <v>436</v>
      </c>
      <c r="I54">
        <f t="shared" si="0"/>
        <v>2022</v>
      </c>
      <c r="J54">
        <f t="shared" si="1"/>
        <v>21</v>
      </c>
    </row>
    <row r="55" spans="1:10" x14ac:dyDescent="0.2">
      <c r="A55" t="s">
        <v>33</v>
      </c>
      <c r="B55" t="s">
        <v>120</v>
      </c>
      <c r="C55" t="s">
        <v>121</v>
      </c>
      <c r="D55" t="s">
        <v>464</v>
      </c>
      <c r="E55" s="1">
        <v>44711</v>
      </c>
      <c r="F55">
        <v>3070</v>
      </c>
      <c r="G55" t="s">
        <v>119</v>
      </c>
      <c r="H55" t="s">
        <v>436</v>
      </c>
      <c r="I55">
        <f t="shared" si="0"/>
        <v>2022</v>
      </c>
      <c r="J55">
        <f t="shared" si="1"/>
        <v>22</v>
      </c>
    </row>
    <row r="56" spans="1:10" x14ac:dyDescent="0.2">
      <c r="A56" t="s">
        <v>72</v>
      </c>
      <c r="B56" t="s">
        <v>120</v>
      </c>
      <c r="C56" t="s">
        <v>121</v>
      </c>
      <c r="D56" t="s">
        <v>464</v>
      </c>
      <c r="E56" s="1">
        <v>44718</v>
      </c>
      <c r="F56">
        <v>3180</v>
      </c>
      <c r="G56" t="s">
        <v>119</v>
      </c>
      <c r="H56" t="s">
        <v>436</v>
      </c>
      <c r="I56">
        <f t="shared" si="0"/>
        <v>2022</v>
      </c>
      <c r="J56">
        <f t="shared" si="1"/>
        <v>23</v>
      </c>
    </row>
    <row r="57" spans="1:10" x14ac:dyDescent="0.2">
      <c r="A57" t="s">
        <v>47</v>
      </c>
      <c r="B57" t="s">
        <v>120</v>
      </c>
      <c r="C57" t="s">
        <v>121</v>
      </c>
      <c r="D57" t="s">
        <v>464</v>
      </c>
      <c r="E57" s="1">
        <v>44725</v>
      </c>
      <c r="F57">
        <v>3250</v>
      </c>
      <c r="G57" t="s">
        <v>119</v>
      </c>
      <c r="H57" t="s">
        <v>436</v>
      </c>
      <c r="I57">
        <f t="shared" si="0"/>
        <v>2022</v>
      </c>
      <c r="J57">
        <f t="shared" si="1"/>
        <v>24</v>
      </c>
    </row>
    <row r="58" spans="1:10" x14ac:dyDescent="0.2">
      <c r="A58" t="s">
        <v>99</v>
      </c>
      <c r="B58" t="s">
        <v>120</v>
      </c>
      <c r="C58" t="s">
        <v>121</v>
      </c>
      <c r="D58" t="s">
        <v>464</v>
      </c>
      <c r="E58" s="1">
        <v>44732</v>
      </c>
      <c r="F58">
        <v>2850</v>
      </c>
      <c r="G58" t="s">
        <v>119</v>
      </c>
      <c r="H58" t="s">
        <v>436</v>
      </c>
      <c r="I58">
        <f t="shared" si="0"/>
        <v>2022</v>
      </c>
      <c r="J58">
        <f t="shared" si="1"/>
        <v>25</v>
      </c>
    </row>
    <row r="59" spans="1:10" x14ac:dyDescent="0.2">
      <c r="A59" t="s">
        <v>32</v>
      </c>
      <c r="B59" t="s">
        <v>120</v>
      </c>
      <c r="C59" t="s">
        <v>121</v>
      </c>
      <c r="D59" t="s">
        <v>464</v>
      </c>
      <c r="E59" s="1">
        <v>44739</v>
      </c>
      <c r="F59">
        <v>2910</v>
      </c>
      <c r="G59" t="s">
        <v>119</v>
      </c>
      <c r="H59" t="s">
        <v>436</v>
      </c>
      <c r="I59">
        <f t="shared" si="0"/>
        <v>2022</v>
      </c>
      <c r="J59">
        <f t="shared" si="1"/>
        <v>26</v>
      </c>
    </row>
    <row r="60" spans="1:10" x14ac:dyDescent="0.2">
      <c r="A60" t="s">
        <v>32</v>
      </c>
      <c r="B60" t="s">
        <v>120</v>
      </c>
      <c r="C60" t="s">
        <v>121</v>
      </c>
      <c r="D60" t="s">
        <v>464</v>
      </c>
      <c r="E60" s="1">
        <v>44746</v>
      </c>
      <c r="F60">
        <v>3140</v>
      </c>
      <c r="G60" t="s">
        <v>119</v>
      </c>
      <c r="H60" t="s">
        <v>436</v>
      </c>
      <c r="I60">
        <f t="shared" si="0"/>
        <v>2022</v>
      </c>
      <c r="J60">
        <f t="shared" si="1"/>
        <v>27</v>
      </c>
    </row>
    <row r="61" spans="1:10" x14ac:dyDescent="0.2">
      <c r="A61" t="s">
        <v>71</v>
      </c>
      <c r="B61" t="s">
        <v>120</v>
      </c>
      <c r="C61" t="s">
        <v>121</v>
      </c>
      <c r="D61" t="s">
        <v>464</v>
      </c>
      <c r="E61" s="1">
        <v>44753</v>
      </c>
      <c r="F61">
        <v>3200</v>
      </c>
      <c r="G61" t="s">
        <v>119</v>
      </c>
      <c r="H61" t="s">
        <v>436</v>
      </c>
      <c r="I61">
        <f t="shared" si="0"/>
        <v>2022</v>
      </c>
      <c r="J61">
        <f t="shared" si="1"/>
        <v>28</v>
      </c>
    </row>
    <row r="62" spans="1:10" x14ac:dyDescent="0.2">
      <c r="A62" t="s">
        <v>91</v>
      </c>
      <c r="B62" t="s">
        <v>120</v>
      </c>
      <c r="C62" t="s">
        <v>121</v>
      </c>
      <c r="D62" t="s">
        <v>464</v>
      </c>
      <c r="E62" s="1">
        <v>44760</v>
      </c>
      <c r="F62">
        <v>2960</v>
      </c>
      <c r="G62" t="s">
        <v>119</v>
      </c>
      <c r="H62" t="s">
        <v>436</v>
      </c>
      <c r="I62">
        <f t="shared" si="0"/>
        <v>2022</v>
      </c>
      <c r="J62">
        <f t="shared" si="1"/>
        <v>29</v>
      </c>
    </row>
    <row r="63" spans="1:10" x14ac:dyDescent="0.2">
      <c r="A63" t="s">
        <v>34</v>
      </c>
      <c r="B63" t="s">
        <v>120</v>
      </c>
      <c r="C63" t="s">
        <v>121</v>
      </c>
      <c r="D63" t="s">
        <v>464</v>
      </c>
      <c r="E63" s="1">
        <v>44767</v>
      </c>
      <c r="F63">
        <v>3010</v>
      </c>
      <c r="G63" t="s">
        <v>119</v>
      </c>
      <c r="H63" t="s">
        <v>436</v>
      </c>
      <c r="I63">
        <f t="shared" si="0"/>
        <v>2022</v>
      </c>
      <c r="J63">
        <f t="shared" si="1"/>
        <v>30</v>
      </c>
    </row>
    <row r="64" spans="1:10" x14ac:dyDescent="0.2">
      <c r="A64" t="s">
        <v>98</v>
      </c>
      <c r="B64" t="s">
        <v>120</v>
      </c>
      <c r="C64" t="s">
        <v>121</v>
      </c>
      <c r="D64" t="s">
        <v>464</v>
      </c>
      <c r="E64" s="1">
        <v>44774</v>
      </c>
      <c r="F64">
        <v>3290</v>
      </c>
      <c r="G64" t="s">
        <v>119</v>
      </c>
      <c r="H64" t="s">
        <v>436</v>
      </c>
      <c r="I64">
        <f t="shared" si="0"/>
        <v>2022</v>
      </c>
      <c r="J64">
        <f t="shared" si="1"/>
        <v>31</v>
      </c>
    </row>
    <row r="65" spans="1:10" x14ac:dyDescent="0.2">
      <c r="A65" t="s">
        <v>78</v>
      </c>
      <c r="B65" t="s">
        <v>120</v>
      </c>
      <c r="C65" t="s">
        <v>121</v>
      </c>
      <c r="D65" t="s">
        <v>464</v>
      </c>
      <c r="E65" s="1">
        <v>44781</v>
      </c>
      <c r="F65">
        <v>2970</v>
      </c>
      <c r="G65" t="s">
        <v>119</v>
      </c>
      <c r="H65" t="s">
        <v>436</v>
      </c>
      <c r="I65">
        <f t="shared" si="0"/>
        <v>2022</v>
      </c>
      <c r="J65">
        <f t="shared" si="1"/>
        <v>32</v>
      </c>
    </row>
    <row r="66" spans="1:10" x14ac:dyDescent="0.2">
      <c r="A66" t="s">
        <v>78</v>
      </c>
      <c r="B66" t="s">
        <v>120</v>
      </c>
      <c r="C66" t="s">
        <v>121</v>
      </c>
      <c r="D66" t="s">
        <v>464</v>
      </c>
      <c r="E66" s="1">
        <v>44788</v>
      </c>
      <c r="F66">
        <v>3140</v>
      </c>
      <c r="G66" t="s">
        <v>119</v>
      </c>
      <c r="H66" t="s">
        <v>436</v>
      </c>
      <c r="I66">
        <f t="shared" si="0"/>
        <v>2022</v>
      </c>
      <c r="J66">
        <f t="shared" si="1"/>
        <v>33</v>
      </c>
    </row>
    <row r="67" spans="1:10" x14ac:dyDescent="0.2">
      <c r="A67" t="s">
        <v>80</v>
      </c>
      <c r="B67" t="s">
        <v>120</v>
      </c>
      <c r="C67" t="s">
        <v>121</v>
      </c>
      <c r="D67" t="s">
        <v>464</v>
      </c>
      <c r="E67" s="1">
        <v>44795</v>
      </c>
      <c r="F67">
        <v>2810</v>
      </c>
      <c r="G67" t="s">
        <v>119</v>
      </c>
      <c r="H67" t="s">
        <v>436</v>
      </c>
      <c r="I67">
        <f t="shared" ref="I67:I127" si="2">YEAR(E67)</f>
        <v>2022</v>
      </c>
      <c r="J67">
        <f t="shared" ref="J67:J127" si="3">_xlfn.ISOWEEKNUM(E67)</f>
        <v>34</v>
      </c>
    </row>
    <row r="68" spans="1:10" x14ac:dyDescent="0.2">
      <c r="A68" t="s">
        <v>50</v>
      </c>
      <c r="B68" t="s">
        <v>120</v>
      </c>
      <c r="C68" t="s">
        <v>121</v>
      </c>
      <c r="D68" t="s">
        <v>464</v>
      </c>
      <c r="E68" s="1">
        <v>44802</v>
      </c>
      <c r="F68">
        <v>3300</v>
      </c>
      <c r="G68" t="s">
        <v>119</v>
      </c>
      <c r="H68" t="s">
        <v>436</v>
      </c>
      <c r="I68">
        <f t="shared" si="2"/>
        <v>2022</v>
      </c>
      <c r="J68">
        <f t="shared" si="3"/>
        <v>35</v>
      </c>
    </row>
    <row r="69" spans="1:10" x14ac:dyDescent="0.2">
      <c r="A69" t="s">
        <v>50</v>
      </c>
      <c r="B69" t="s">
        <v>120</v>
      </c>
      <c r="C69" t="s">
        <v>121</v>
      </c>
      <c r="D69" t="s">
        <v>464</v>
      </c>
      <c r="E69" s="1">
        <v>44809</v>
      </c>
      <c r="F69">
        <v>2950</v>
      </c>
      <c r="G69" t="s">
        <v>119</v>
      </c>
      <c r="H69" t="s">
        <v>436</v>
      </c>
      <c r="I69">
        <f t="shared" si="2"/>
        <v>2022</v>
      </c>
      <c r="J69">
        <f t="shared" si="3"/>
        <v>36</v>
      </c>
    </row>
    <row r="70" spans="1:10" x14ac:dyDescent="0.2">
      <c r="A70" t="s">
        <v>106</v>
      </c>
      <c r="B70" t="s">
        <v>120</v>
      </c>
      <c r="C70" t="s">
        <v>121</v>
      </c>
      <c r="D70" t="s">
        <v>464</v>
      </c>
      <c r="E70" s="1">
        <v>44816</v>
      </c>
      <c r="F70">
        <v>2940</v>
      </c>
      <c r="G70" t="s">
        <v>119</v>
      </c>
      <c r="H70" t="s">
        <v>436</v>
      </c>
      <c r="I70">
        <f t="shared" si="2"/>
        <v>2022</v>
      </c>
      <c r="J70">
        <f t="shared" si="3"/>
        <v>37</v>
      </c>
    </row>
    <row r="71" spans="1:10" x14ac:dyDescent="0.2">
      <c r="A71" t="s">
        <v>82</v>
      </c>
      <c r="B71" t="s">
        <v>120</v>
      </c>
      <c r="C71" t="s">
        <v>121</v>
      </c>
      <c r="D71" t="s">
        <v>464</v>
      </c>
      <c r="E71" s="1">
        <v>44823</v>
      </c>
      <c r="F71">
        <v>3270</v>
      </c>
      <c r="G71" t="s">
        <v>119</v>
      </c>
      <c r="H71" t="s">
        <v>436</v>
      </c>
      <c r="I71">
        <f t="shared" si="2"/>
        <v>2022</v>
      </c>
      <c r="J71">
        <f t="shared" si="3"/>
        <v>38</v>
      </c>
    </row>
    <row r="72" spans="1:10" x14ac:dyDescent="0.2">
      <c r="A72" t="s">
        <v>90</v>
      </c>
      <c r="B72" t="s">
        <v>120</v>
      </c>
      <c r="C72" t="s">
        <v>121</v>
      </c>
      <c r="D72" t="s">
        <v>464</v>
      </c>
      <c r="E72" s="1">
        <v>44830</v>
      </c>
      <c r="F72">
        <v>3270</v>
      </c>
      <c r="G72" t="s">
        <v>119</v>
      </c>
      <c r="H72" t="s">
        <v>436</v>
      </c>
      <c r="I72">
        <f t="shared" si="2"/>
        <v>2022</v>
      </c>
      <c r="J72">
        <f t="shared" si="3"/>
        <v>39</v>
      </c>
    </row>
    <row r="73" spans="1:10" x14ac:dyDescent="0.2">
      <c r="A73" t="s">
        <v>30</v>
      </c>
      <c r="B73" t="s">
        <v>120</v>
      </c>
      <c r="C73" t="s">
        <v>121</v>
      </c>
      <c r="D73" t="s">
        <v>464</v>
      </c>
      <c r="E73" s="1">
        <v>44837</v>
      </c>
      <c r="F73">
        <v>3020</v>
      </c>
      <c r="G73" t="s">
        <v>119</v>
      </c>
      <c r="H73" t="s">
        <v>436</v>
      </c>
      <c r="I73">
        <f t="shared" si="2"/>
        <v>2022</v>
      </c>
      <c r="J73">
        <f t="shared" si="3"/>
        <v>40</v>
      </c>
    </row>
    <row r="74" spans="1:10" x14ac:dyDescent="0.2">
      <c r="A74" t="s">
        <v>117</v>
      </c>
      <c r="B74" t="s">
        <v>120</v>
      </c>
      <c r="C74" t="s">
        <v>121</v>
      </c>
      <c r="D74" t="s">
        <v>464</v>
      </c>
      <c r="E74" s="1">
        <v>44844</v>
      </c>
      <c r="F74">
        <v>2960</v>
      </c>
      <c r="G74" t="s">
        <v>119</v>
      </c>
      <c r="H74" t="s">
        <v>436</v>
      </c>
      <c r="I74">
        <f t="shared" si="2"/>
        <v>2022</v>
      </c>
      <c r="J74">
        <f t="shared" si="3"/>
        <v>41</v>
      </c>
    </row>
    <row r="75" spans="1:10" x14ac:dyDescent="0.2">
      <c r="A75" t="s">
        <v>112</v>
      </c>
      <c r="B75" t="s">
        <v>120</v>
      </c>
      <c r="C75" t="s">
        <v>121</v>
      </c>
      <c r="D75" t="s">
        <v>464</v>
      </c>
      <c r="E75" s="1">
        <v>44851</v>
      </c>
      <c r="F75">
        <v>3280</v>
      </c>
      <c r="G75" t="s">
        <v>119</v>
      </c>
      <c r="H75" t="s">
        <v>436</v>
      </c>
      <c r="I75">
        <f t="shared" si="2"/>
        <v>2022</v>
      </c>
      <c r="J75">
        <f t="shared" si="3"/>
        <v>42</v>
      </c>
    </row>
    <row r="76" spans="1:10" x14ac:dyDescent="0.2">
      <c r="A76" t="s">
        <v>64</v>
      </c>
      <c r="B76" t="s">
        <v>120</v>
      </c>
      <c r="C76" t="s">
        <v>121</v>
      </c>
      <c r="D76" t="s">
        <v>464</v>
      </c>
      <c r="E76" s="1">
        <v>44858</v>
      </c>
      <c r="F76">
        <v>3120</v>
      </c>
      <c r="G76" t="s">
        <v>119</v>
      </c>
      <c r="H76" t="s">
        <v>436</v>
      </c>
      <c r="I76">
        <f t="shared" si="2"/>
        <v>2022</v>
      </c>
      <c r="J76">
        <f t="shared" si="3"/>
        <v>43</v>
      </c>
    </row>
    <row r="77" spans="1:10" x14ac:dyDescent="0.2">
      <c r="A77" t="s">
        <v>109</v>
      </c>
      <c r="B77" t="s">
        <v>120</v>
      </c>
      <c r="C77" t="s">
        <v>121</v>
      </c>
      <c r="D77" t="s">
        <v>464</v>
      </c>
      <c r="E77" s="1">
        <v>44865</v>
      </c>
      <c r="F77">
        <v>3250</v>
      </c>
      <c r="G77" t="s">
        <v>119</v>
      </c>
      <c r="H77" t="s">
        <v>436</v>
      </c>
      <c r="I77">
        <f t="shared" si="2"/>
        <v>2022</v>
      </c>
      <c r="J77">
        <f t="shared" si="3"/>
        <v>44</v>
      </c>
    </row>
    <row r="78" spans="1:10" x14ac:dyDescent="0.2">
      <c r="A78" t="s">
        <v>58</v>
      </c>
      <c r="B78" t="s">
        <v>120</v>
      </c>
      <c r="C78" t="s">
        <v>121</v>
      </c>
      <c r="D78" t="s">
        <v>464</v>
      </c>
      <c r="E78" s="1">
        <v>44872</v>
      </c>
      <c r="F78">
        <v>3210</v>
      </c>
      <c r="G78" t="s">
        <v>119</v>
      </c>
      <c r="H78" t="s">
        <v>436</v>
      </c>
      <c r="I78">
        <f t="shared" si="2"/>
        <v>2022</v>
      </c>
      <c r="J78">
        <f t="shared" si="3"/>
        <v>45</v>
      </c>
    </row>
    <row r="79" spans="1:10" x14ac:dyDescent="0.2">
      <c r="A79" t="s">
        <v>42</v>
      </c>
      <c r="B79" t="s">
        <v>120</v>
      </c>
      <c r="C79" t="s">
        <v>121</v>
      </c>
      <c r="D79" t="s">
        <v>464</v>
      </c>
      <c r="E79" s="1">
        <v>44879</v>
      </c>
      <c r="F79">
        <v>2860</v>
      </c>
      <c r="G79" t="s">
        <v>119</v>
      </c>
      <c r="H79" t="s">
        <v>436</v>
      </c>
      <c r="I79">
        <f t="shared" si="2"/>
        <v>2022</v>
      </c>
      <c r="J79">
        <f t="shared" si="3"/>
        <v>46</v>
      </c>
    </row>
    <row r="80" spans="1:10" x14ac:dyDescent="0.2">
      <c r="A80" t="s">
        <v>69</v>
      </c>
      <c r="B80" t="s">
        <v>120</v>
      </c>
      <c r="C80" t="s">
        <v>121</v>
      </c>
      <c r="D80" t="s">
        <v>464</v>
      </c>
      <c r="E80" s="1">
        <v>44886</v>
      </c>
      <c r="F80">
        <v>2960</v>
      </c>
      <c r="G80" t="s">
        <v>119</v>
      </c>
      <c r="H80" t="s">
        <v>436</v>
      </c>
      <c r="I80">
        <f t="shared" si="2"/>
        <v>2022</v>
      </c>
      <c r="J80">
        <f t="shared" si="3"/>
        <v>47</v>
      </c>
    </row>
    <row r="81" spans="1:10" x14ac:dyDescent="0.2">
      <c r="A81" t="s">
        <v>83</v>
      </c>
      <c r="B81" t="s">
        <v>120</v>
      </c>
      <c r="C81" t="s">
        <v>121</v>
      </c>
      <c r="D81" t="s">
        <v>464</v>
      </c>
      <c r="E81" s="1">
        <v>44893</v>
      </c>
      <c r="F81">
        <v>3170</v>
      </c>
      <c r="G81" t="s">
        <v>119</v>
      </c>
      <c r="H81" t="s">
        <v>436</v>
      </c>
      <c r="I81">
        <f t="shared" si="2"/>
        <v>2022</v>
      </c>
      <c r="J81">
        <f t="shared" si="3"/>
        <v>48</v>
      </c>
    </row>
    <row r="82" spans="1:10" x14ac:dyDescent="0.2">
      <c r="A82" t="s">
        <v>77</v>
      </c>
      <c r="B82" t="s">
        <v>120</v>
      </c>
      <c r="C82" t="s">
        <v>121</v>
      </c>
      <c r="D82" t="s">
        <v>464</v>
      </c>
      <c r="E82" s="1">
        <v>44900</v>
      </c>
      <c r="F82">
        <v>2900</v>
      </c>
      <c r="G82" t="s">
        <v>119</v>
      </c>
      <c r="H82" t="s">
        <v>436</v>
      </c>
      <c r="I82">
        <f t="shared" si="2"/>
        <v>2022</v>
      </c>
      <c r="J82">
        <f t="shared" si="3"/>
        <v>49</v>
      </c>
    </row>
    <row r="83" spans="1:10" x14ac:dyDescent="0.2">
      <c r="A83" t="s">
        <v>75</v>
      </c>
      <c r="B83" t="s">
        <v>120</v>
      </c>
      <c r="C83" t="s">
        <v>121</v>
      </c>
      <c r="D83" t="s">
        <v>464</v>
      </c>
      <c r="E83" s="1">
        <v>44907</v>
      </c>
      <c r="F83">
        <v>3190</v>
      </c>
      <c r="G83" t="s">
        <v>119</v>
      </c>
      <c r="H83" t="s">
        <v>436</v>
      </c>
      <c r="I83">
        <f t="shared" si="2"/>
        <v>2022</v>
      </c>
      <c r="J83">
        <f t="shared" si="3"/>
        <v>50</v>
      </c>
    </row>
    <row r="84" spans="1:10" x14ac:dyDescent="0.2">
      <c r="A84" t="s">
        <v>40</v>
      </c>
      <c r="B84" t="s">
        <v>120</v>
      </c>
      <c r="C84" t="s">
        <v>121</v>
      </c>
      <c r="D84" t="s">
        <v>464</v>
      </c>
      <c r="E84" s="1">
        <v>44914</v>
      </c>
      <c r="F84">
        <v>2930</v>
      </c>
      <c r="G84" t="s">
        <v>119</v>
      </c>
      <c r="H84" t="s">
        <v>436</v>
      </c>
      <c r="I84">
        <f t="shared" si="2"/>
        <v>2022</v>
      </c>
      <c r="J84">
        <f t="shared" si="3"/>
        <v>51</v>
      </c>
    </row>
    <row r="85" spans="1:10" x14ac:dyDescent="0.2">
      <c r="A85" t="s">
        <v>84</v>
      </c>
      <c r="B85" t="s">
        <v>120</v>
      </c>
      <c r="C85" t="s">
        <v>121</v>
      </c>
      <c r="D85" t="s">
        <v>464</v>
      </c>
      <c r="E85" s="1">
        <v>44921</v>
      </c>
      <c r="F85">
        <v>2930</v>
      </c>
      <c r="G85" t="s">
        <v>119</v>
      </c>
      <c r="H85" t="s">
        <v>436</v>
      </c>
      <c r="I85">
        <f t="shared" si="2"/>
        <v>2022</v>
      </c>
      <c r="J85">
        <f t="shared" si="3"/>
        <v>52</v>
      </c>
    </row>
    <row r="86" spans="1:10" x14ac:dyDescent="0.2">
      <c r="A86" t="s">
        <v>56</v>
      </c>
      <c r="B86" t="s">
        <v>120</v>
      </c>
      <c r="C86" t="s">
        <v>121</v>
      </c>
      <c r="D86" t="s">
        <v>464</v>
      </c>
      <c r="E86" s="1">
        <v>44928</v>
      </c>
      <c r="F86">
        <v>3000</v>
      </c>
      <c r="G86" t="s">
        <v>119</v>
      </c>
      <c r="H86" t="s">
        <v>436</v>
      </c>
      <c r="I86">
        <f t="shared" si="2"/>
        <v>2023</v>
      </c>
      <c r="J86">
        <f t="shared" si="3"/>
        <v>1</v>
      </c>
    </row>
    <row r="87" spans="1:10" x14ac:dyDescent="0.2">
      <c r="A87" t="s">
        <v>39</v>
      </c>
      <c r="B87" t="s">
        <v>120</v>
      </c>
      <c r="C87" t="s">
        <v>121</v>
      </c>
      <c r="D87" t="s">
        <v>464</v>
      </c>
      <c r="E87" s="1">
        <v>44935</v>
      </c>
      <c r="F87">
        <v>10750</v>
      </c>
      <c r="G87" t="s">
        <v>119</v>
      </c>
      <c r="H87" t="s">
        <v>436</v>
      </c>
      <c r="I87">
        <f t="shared" si="2"/>
        <v>2023</v>
      </c>
      <c r="J87">
        <f t="shared" si="3"/>
        <v>2</v>
      </c>
    </row>
    <row r="88" spans="1:10" x14ac:dyDescent="0.2">
      <c r="A88" t="s">
        <v>96</v>
      </c>
      <c r="B88" t="s">
        <v>120</v>
      </c>
      <c r="C88" t="s">
        <v>121</v>
      </c>
      <c r="D88" t="s">
        <v>464</v>
      </c>
      <c r="E88" s="1">
        <v>44942</v>
      </c>
      <c r="F88">
        <v>2860</v>
      </c>
      <c r="G88" t="s">
        <v>119</v>
      </c>
      <c r="H88" t="s">
        <v>436</v>
      </c>
      <c r="I88">
        <f t="shared" si="2"/>
        <v>2023</v>
      </c>
      <c r="J88">
        <f t="shared" si="3"/>
        <v>3</v>
      </c>
    </row>
    <row r="89" spans="1:10" x14ac:dyDescent="0.2">
      <c r="A89" t="s">
        <v>107</v>
      </c>
      <c r="B89" t="s">
        <v>120</v>
      </c>
      <c r="C89" t="s">
        <v>121</v>
      </c>
      <c r="D89" t="s">
        <v>464</v>
      </c>
      <c r="E89" s="1">
        <v>44949</v>
      </c>
      <c r="F89">
        <v>2840</v>
      </c>
      <c r="G89" t="s">
        <v>119</v>
      </c>
      <c r="H89" t="s">
        <v>436</v>
      </c>
      <c r="I89">
        <f t="shared" si="2"/>
        <v>2023</v>
      </c>
      <c r="J89">
        <f t="shared" si="3"/>
        <v>4</v>
      </c>
    </row>
    <row r="90" spans="1:10" x14ac:dyDescent="0.2">
      <c r="A90" t="s">
        <v>81</v>
      </c>
      <c r="B90" t="s">
        <v>120</v>
      </c>
      <c r="C90" t="s">
        <v>121</v>
      </c>
      <c r="D90" t="s">
        <v>464</v>
      </c>
      <c r="E90" s="1">
        <v>44956</v>
      </c>
      <c r="F90">
        <v>3160</v>
      </c>
      <c r="G90" t="s">
        <v>119</v>
      </c>
      <c r="H90" t="s">
        <v>436</v>
      </c>
      <c r="I90">
        <f t="shared" si="2"/>
        <v>2023</v>
      </c>
      <c r="J90">
        <f t="shared" si="3"/>
        <v>5</v>
      </c>
    </row>
    <row r="91" spans="1:10" x14ac:dyDescent="0.2">
      <c r="A91" t="s">
        <v>54</v>
      </c>
      <c r="B91" t="s">
        <v>120</v>
      </c>
      <c r="C91" t="s">
        <v>121</v>
      </c>
      <c r="D91" t="s">
        <v>464</v>
      </c>
      <c r="E91" s="1">
        <v>44963</v>
      </c>
      <c r="F91">
        <v>2860</v>
      </c>
      <c r="G91" t="s">
        <v>119</v>
      </c>
      <c r="H91" t="s">
        <v>436</v>
      </c>
      <c r="I91">
        <f t="shared" si="2"/>
        <v>2023</v>
      </c>
      <c r="J91">
        <f t="shared" si="3"/>
        <v>6</v>
      </c>
    </row>
    <row r="92" spans="1:10" x14ac:dyDescent="0.2">
      <c r="A92" t="s">
        <v>63</v>
      </c>
      <c r="B92" t="s">
        <v>120</v>
      </c>
      <c r="C92" t="s">
        <v>121</v>
      </c>
      <c r="D92" t="s">
        <v>464</v>
      </c>
      <c r="E92" s="1">
        <v>44970</v>
      </c>
      <c r="F92">
        <v>2910</v>
      </c>
      <c r="G92" t="s">
        <v>119</v>
      </c>
      <c r="H92" t="s">
        <v>436</v>
      </c>
      <c r="I92">
        <f t="shared" si="2"/>
        <v>2023</v>
      </c>
      <c r="J92">
        <f t="shared" si="3"/>
        <v>7</v>
      </c>
    </row>
    <row r="93" spans="1:10" x14ac:dyDescent="0.2">
      <c r="A93" t="s">
        <v>85</v>
      </c>
      <c r="B93" t="s">
        <v>120</v>
      </c>
      <c r="C93" t="s">
        <v>121</v>
      </c>
      <c r="D93" t="s">
        <v>464</v>
      </c>
      <c r="E93" s="1">
        <v>44977</v>
      </c>
      <c r="F93">
        <v>3210</v>
      </c>
      <c r="G93" t="s">
        <v>119</v>
      </c>
      <c r="H93" t="s">
        <v>436</v>
      </c>
      <c r="I93">
        <f t="shared" si="2"/>
        <v>2023</v>
      </c>
      <c r="J93">
        <f t="shared" si="3"/>
        <v>8</v>
      </c>
    </row>
    <row r="94" spans="1:10" x14ac:dyDescent="0.2">
      <c r="A94" t="s">
        <v>59</v>
      </c>
      <c r="B94" t="s">
        <v>120</v>
      </c>
      <c r="C94" t="s">
        <v>121</v>
      </c>
      <c r="D94" t="s">
        <v>464</v>
      </c>
      <c r="E94" s="1">
        <v>44984</v>
      </c>
      <c r="F94">
        <v>2980</v>
      </c>
      <c r="G94" t="s">
        <v>119</v>
      </c>
      <c r="H94" t="s">
        <v>436</v>
      </c>
      <c r="I94">
        <f t="shared" si="2"/>
        <v>2023</v>
      </c>
      <c r="J94">
        <f t="shared" si="3"/>
        <v>9</v>
      </c>
    </row>
    <row r="95" spans="1:10" x14ac:dyDescent="0.2">
      <c r="A95" t="s">
        <v>118</v>
      </c>
      <c r="B95" t="s">
        <v>120</v>
      </c>
      <c r="C95" t="s">
        <v>121</v>
      </c>
      <c r="D95" t="s">
        <v>464</v>
      </c>
      <c r="E95" s="1">
        <v>44991</v>
      </c>
      <c r="F95">
        <v>2960</v>
      </c>
      <c r="G95" t="s">
        <v>119</v>
      </c>
      <c r="H95" t="s">
        <v>436</v>
      </c>
      <c r="I95">
        <f t="shared" si="2"/>
        <v>2023</v>
      </c>
      <c r="J95">
        <f t="shared" si="3"/>
        <v>10</v>
      </c>
    </row>
    <row r="96" spans="1:10" x14ac:dyDescent="0.2">
      <c r="A96" t="s">
        <v>68</v>
      </c>
      <c r="B96" t="s">
        <v>120</v>
      </c>
      <c r="C96" t="s">
        <v>121</v>
      </c>
      <c r="D96" t="s">
        <v>464</v>
      </c>
      <c r="E96" s="1">
        <v>44998</v>
      </c>
      <c r="F96">
        <v>3260</v>
      </c>
      <c r="G96" t="s">
        <v>119</v>
      </c>
      <c r="H96" t="s">
        <v>436</v>
      </c>
      <c r="I96">
        <f t="shared" si="2"/>
        <v>2023</v>
      </c>
      <c r="J96">
        <f t="shared" si="3"/>
        <v>11</v>
      </c>
    </row>
    <row r="97" spans="1:10" x14ac:dyDescent="0.2">
      <c r="A97" t="s">
        <v>68</v>
      </c>
      <c r="B97" t="s">
        <v>120</v>
      </c>
      <c r="C97" t="s">
        <v>121</v>
      </c>
      <c r="D97" t="s">
        <v>464</v>
      </c>
      <c r="E97" s="1">
        <v>45005</v>
      </c>
      <c r="F97">
        <v>3020</v>
      </c>
      <c r="G97" t="s">
        <v>119</v>
      </c>
      <c r="H97" t="s">
        <v>436</v>
      </c>
      <c r="I97">
        <f t="shared" si="2"/>
        <v>2023</v>
      </c>
      <c r="J97">
        <f t="shared" si="3"/>
        <v>12</v>
      </c>
    </row>
    <row r="98" spans="1:10" x14ac:dyDescent="0.2">
      <c r="A98" t="s">
        <v>68</v>
      </c>
      <c r="B98" t="s">
        <v>120</v>
      </c>
      <c r="C98" t="s">
        <v>121</v>
      </c>
      <c r="D98" t="s">
        <v>464</v>
      </c>
      <c r="E98" s="1">
        <v>45012</v>
      </c>
      <c r="F98">
        <v>3120</v>
      </c>
      <c r="G98" t="s">
        <v>119</v>
      </c>
      <c r="H98" t="s">
        <v>436</v>
      </c>
      <c r="I98">
        <f t="shared" si="2"/>
        <v>2023</v>
      </c>
      <c r="J98">
        <f t="shared" si="3"/>
        <v>13</v>
      </c>
    </row>
    <row r="99" spans="1:10" x14ac:dyDescent="0.2">
      <c r="A99" t="s">
        <v>87</v>
      </c>
      <c r="B99" t="s">
        <v>120</v>
      </c>
      <c r="C99" t="s">
        <v>121</v>
      </c>
      <c r="D99" t="s">
        <v>464</v>
      </c>
      <c r="E99" s="1">
        <v>45019</v>
      </c>
      <c r="F99">
        <v>2820</v>
      </c>
      <c r="G99" t="s">
        <v>119</v>
      </c>
      <c r="H99" t="s">
        <v>436</v>
      </c>
      <c r="I99">
        <f t="shared" si="2"/>
        <v>2023</v>
      </c>
      <c r="J99">
        <f t="shared" si="3"/>
        <v>14</v>
      </c>
    </row>
    <row r="100" spans="1:10" x14ac:dyDescent="0.2">
      <c r="A100" t="s">
        <v>38</v>
      </c>
      <c r="B100" t="s">
        <v>120</v>
      </c>
      <c r="C100" t="s">
        <v>121</v>
      </c>
      <c r="D100" t="s">
        <v>464</v>
      </c>
      <c r="E100" s="1">
        <v>45026</v>
      </c>
      <c r="F100">
        <v>3110</v>
      </c>
      <c r="G100" t="s">
        <v>119</v>
      </c>
      <c r="H100" t="s">
        <v>436</v>
      </c>
      <c r="I100">
        <f t="shared" si="2"/>
        <v>2023</v>
      </c>
      <c r="J100">
        <f t="shared" si="3"/>
        <v>15</v>
      </c>
    </row>
    <row r="101" spans="1:10" x14ac:dyDescent="0.2">
      <c r="A101" t="s">
        <v>195</v>
      </c>
      <c r="B101" t="s">
        <v>120</v>
      </c>
      <c r="C101" t="s">
        <v>121</v>
      </c>
      <c r="D101" t="s">
        <v>464</v>
      </c>
      <c r="E101" s="1">
        <v>44358</v>
      </c>
      <c r="F101">
        <v>3700</v>
      </c>
      <c r="G101" t="s">
        <v>240</v>
      </c>
      <c r="H101" t="s">
        <v>241</v>
      </c>
      <c r="I101">
        <f t="shared" si="2"/>
        <v>2021</v>
      </c>
      <c r="J101">
        <f t="shared" si="3"/>
        <v>23</v>
      </c>
    </row>
    <row r="102" spans="1:10" x14ac:dyDescent="0.2">
      <c r="A102" t="s">
        <v>169</v>
      </c>
      <c r="B102" t="s">
        <v>120</v>
      </c>
      <c r="C102" t="s">
        <v>121</v>
      </c>
      <c r="D102" t="s">
        <v>464</v>
      </c>
      <c r="E102" s="1">
        <v>44365</v>
      </c>
      <c r="F102">
        <v>4670</v>
      </c>
      <c r="G102" t="s">
        <v>240</v>
      </c>
      <c r="H102" t="s">
        <v>241</v>
      </c>
      <c r="I102">
        <f t="shared" si="2"/>
        <v>2021</v>
      </c>
      <c r="J102">
        <f t="shared" si="3"/>
        <v>24</v>
      </c>
    </row>
    <row r="103" spans="1:10" x14ac:dyDescent="0.2">
      <c r="A103" t="s">
        <v>227</v>
      </c>
      <c r="B103" t="s">
        <v>120</v>
      </c>
      <c r="C103" t="s">
        <v>121</v>
      </c>
      <c r="D103" t="s">
        <v>464</v>
      </c>
      <c r="E103" s="1">
        <v>44372</v>
      </c>
      <c r="F103">
        <v>4110</v>
      </c>
      <c r="G103" t="s">
        <v>240</v>
      </c>
      <c r="H103" t="s">
        <v>241</v>
      </c>
      <c r="I103">
        <f t="shared" si="2"/>
        <v>2021</v>
      </c>
      <c r="J103">
        <f t="shared" si="3"/>
        <v>25</v>
      </c>
    </row>
    <row r="104" spans="1:10" x14ac:dyDescent="0.2">
      <c r="A104" t="s">
        <v>211</v>
      </c>
      <c r="B104" t="s">
        <v>120</v>
      </c>
      <c r="C104" t="s">
        <v>121</v>
      </c>
      <c r="D104" t="s">
        <v>464</v>
      </c>
      <c r="E104" s="1">
        <v>44379</v>
      </c>
      <c r="F104">
        <v>4710</v>
      </c>
      <c r="G104" t="s">
        <v>240</v>
      </c>
      <c r="H104" t="s">
        <v>241</v>
      </c>
      <c r="I104">
        <f t="shared" si="2"/>
        <v>2021</v>
      </c>
      <c r="J104">
        <f t="shared" si="3"/>
        <v>26</v>
      </c>
    </row>
    <row r="105" spans="1:10" x14ac:dyDescent="0.2">
      <c r="A105" t="s">
        <v>194</v>
      </c>
      <c r="B105" t="s">
        <v>120</v>
      </c>
      <c r="C105" t="s">
        <v>121</v>
      </c>
      <c r="D105" t="s">
        <v>464</v>
      </c>
      <c r="E105" s="1">
        <v>44386</v>
      </c>
      <c r="F105">
        <v>4090</v>
      </c>
      <c r="G105" t="s">
        <v>240</v>
      </c>
      <c r="H105" t="s">
        <v>241</v>
      </c>
      <c r="I105">
        <f t="shared" si="2"/>
        <v>2021</v>
      </c>
      <c r="J105">
        <f t="shared" si="3"/>
        <v>27</v>
      </c>
    </row>
    <row r="106" spans="1:10" x14ac:dyDescent="0.2">
      <c r="A106" t="s">
        <v>185</v>
      </c>
      <c r="B106" t="s">
        <v>120</v>
      </c>
      <c r="C106" t="s">
        <v>121</v>
      </c>
      <c r="D106" t="s">
        <v>464</v>
      </c>
      <c r="E106" s="1">
        <v>44393</v>
      </c>
      <c r="F106">
        <v>4300</v>
      </c>
      <c r="G106" t="s">
        <v>240</v>
      </c>
      <c r="H106" t="s">
        <v>241</v>
      </c>
      <c r="I106">
        <f t="shared" si="2"/>
        <v>2021</v>
      </c>
      <c r="J106">
        <f t="shared" si="3"/>
        <v>28</v>
      </c>
    </row>
    <row r="107" spans="1:10" x14ac:dyDescent="0.2">
      <c r="A107" t="s">
        <v>224</v>
      </c>
      <c r="B107" t="s">
        <v>120</v>
      </c>
      <c r="C107" t="s">
        <v>121</v>
      </c>
      <c r="D107" t="s">
        <v>464</v>
      </c>
      <c r="E107" s="1">
        <v>44400</v>
      </c>
      <c r="F107">
        <v>3950</v>
      </c>
      <c r="G107" t="s">
        <v>240</v>
      </c>
      <c r="H107" t="s">
        <v>241</v>
      </c>
      <c r="I107">
        <f t="shared" si="2"/>
        <v>2021</v>
      </c>
      <c r="J107">
        <f t="shared" si="3"/>
        <v>29</v>
      </c>
    </row>
    <row r="108" spans="1:10" x14ac:dyDescent="0.2">
      <c r="A108" t="s">
        <v>176</v>
      </c>
      <c r="B108" t="s">
        <v>120</v>
      </c>
      <c r="C108" t="s">
        <v>121</v>
      </c>
      <c r="D108" t="s">
        <v>464</v>
      </c>
      <c r="E108" s="1">
        <v>44407</v>
      </c>
      <c r="F108">
        <v>3920</v>
      </c>
      <c r="G108" t="s">
        <v>240</v>
      </c>
      <c r="H108" t="s">
        <v>241</v>
      </c>
      <c r="I108">
        <f t="shared" si="2"/>
        <v>2021</v>
      </c>
      <c r="J108">
        <f t="shared" si="3"/>
        <v>30</v>
      </c>
    </row>
    <row r="109" spans="1:10" x14ac:dyDescent="0.2">
      <c r="A109" t="s">
        <v>203</v>
      </c>
      <c r="B109" t="s">
        <v>120</v>
      </c>
      <c r="C109" t="s">
        <v>121</v>
      </c>
      <c r="D109" t="s">
        <v>464</v>
      </c>
      <c r="E109" s="1">
        <v>44414</v>
      </c>
      <c r="F109">
        <v>3900</v>
      </c>
      <c r="G109" t="s">
        <v>240</v>
      </c>
      <c r="H109" t="s">
        <v>241</v>
      </c>
      <c r="I109">
        <f t="shared" si="2"/>
        <v>2021</v>
      </c>
      <c r="J109">
        <f t="shared" si="3"/>
        <v>31</v>
      </c>
    </row>
    <row r="110" spans="1:10" x14ac:dyDescent="0.2">
      <c r="A110" t="s">
        <v>203</v>
      </c>
      <c r="B110" t="s">
        <v>120</v>
      </c>
      <c r="C110" t="s">
        <v>121</v>
      </c>
      <c r="D110" t="s">
        <v>464</v>
      </c>
      <c r="E110" s="1">
        <v>44421</v>
      </c>
      <c r="F110">
        <v>4760</v>
      </c>
      <c r="G110" t="s">
        <v>240</v>
      </c>
      <c r="H110" t="s">
        <v>241</v>
      </c>
      <c r="I110">
        <f t="shared" si="2"/>
        <v>2021</v>
      </c>
      <c r="J110">
        <f t="shared" si="3"/>
        <v>32</v>
      </c>
    </row>
    <row r="111" spans="1:10" x14ac:dyDescent="0.2">
      <c r="A111" t="s">
        <v>201</v>
      </c>
      <c r="B111" t="s">
        <v>120</v>
      </c>
      <c r="C111" t="s">
        <v>121</v>
      </c>
      <c r="D111" t="s">
        <v>464</v>
      </c>
      <c r="E111" s="1">
        <v>44428</v>
      </c>
      <c r="F111">
        <v>3850</v>
      </c>
      <c r="G111" t="s">
        <v>240</v>
      </c>
      <c r="H111" t="s">
        <v>241</v>
      </c>
      <c r="I111">
        <f t="shared" si="2"/>
        <v>2021</v>
      </c>
      <c r="J111">
        <f t="shared" si="3"/>
        <v>33</v>
      </c>
    </row>
    <row r="112" spans="1:10" x14ac:dyDescent="0.2">
      <c r="A112" t="s">
        <v>218</v>
      </c>
      <c r="B112" t="s">
        <v>120</v>
      </c>
      <c r="C112" t="s">
        <v>121</v>
      </c>
      <c r="D112" t="s">
        <v>464</v>
      </c>
      <c r="E112" s="1">
        <v>44435</v>
      </c>
      <c r="F112">
        <v>3990</v>
      </c>
      <c r="G112" t="s">
        <v>240</v>
      </c>
      <c r="H112" t="s">
        <v>241</v>
      </c>
      <c r="I112">
        <f t="shared" si="2"/>
        <v>2021</v>
      </c>
      <c r="J112">
        <f t="shared" si="3"/>
        <v>34</v>
      </c>
    </row>
    <row r="113" spans="1:10" x14ac:dyDescent="0.2">
      <c r="A113" t="s">
        <v>177</v>
      </c>
      <c r="B113" t="s">
        <v>120</v>
      </c>
      <c r="C113" t="s">
        <v>121</v>
      </c>
      <c r="D113" t="s">
        <v>464</v>
      </c>
      <c r="E113" s="1">
        <v>44442</v>
      </c>
      <c r="F113">
        <v>4930</v>
      </c>
      <c r="G113" t="s">
        <v>240</v>
      </c>
      <c r="H113" t="s">
        <v>241</v>
      </c>
      <c r="I113">
        <f t="shared" si="2"/>
        <v>2021</v>
      </c>
      <c r="J113">
        <f t="shared" si="3"/>
        <v>35</v>
      </c>
    </row>
    <row r="114" spans="1:10" x14ac:dyDescent="0.2">
      <c r="A114" t="s">
        <v>233</v>
      </c>
      <c r="B114" t="s">
        <v>120</v>
      </c>
      <c r="C114" t="s">
        <v>121</v>
      </c>
      <c r="D114" t="s">
        <v>464</v>
      </c>
      <c r="E114" s="1">
        <v>44449</v>
      </c>
      <c r="F114">
        <v>3900</v>
      </c>
      <c r="G114" t="s">
        <v>240</v>
      </c>
      <c r="H114" t="s">
        <v>241</v>
      </c>
      <c r="I114">
        <f t="shared" si="2"/>
        <v>2021</v>
      </c>
      <c r="J114">
        <f t="shared" si="3"/>
        <v>36</v>
      </c>
    </row>
    <row r="115" spans="1:10" x14ac:dyDescent="0.2">
      <c r="A115" t="s">
        <v>178</v>
      </c>
      <c r="B115" t="s">
        <v>120</v>
      </c>
      <c r="C115" t="s">
        <v>121</v>
      </c>
      <c r="D115" t="s">
        <v>464</v>
      </c>
      <c r="E115" s="1">
        <v>44456</v>
      </c>
      <c r="F115">
        <v>3900</v>
      </c>
      <c r="G115" t="s">
        <v>240</v>
      </c>
      <c r="H115" t="s">
        <v>241</v>
      </c>
      <c r="I115">
        <f t="shared" si="2"/>
        <v>2021</v>
      </c>
      <c r="J115">
        <f t="shared" si="3"/>
        <v>37</v>
      </c>
    </row>
    <row r="116" spans="1:10" x14ac:dyDescent="0.2">
      <c r="A116" t="s">
        <v>161</v>
      </c>
      <c r="B116" t="s">
        <v>120</v>
      </c>
      <c r="C116" t="s">
        <v>121</v>
      </c>
      <c r="D116" t="s">
        <v>464</v>
      </c>
      <c r="E116" s="1">
        <v>44463</v>
      </c>
      <c r="F116">
        <v>4620</v>
      </c>
      <c r="G116" t="s">
        <v>240</v>
      </c>
      <c r="H116" t="s">
        <v>241</v>
      </c>
      <c r="I116">
        <f t="shared" si="2"/>
        <v>2021</v>
      </c>
      <c r="J116">
        <f t="shared" si="3"/>
        <v>38</v>
      </c>
    </row>
    <row r="117" spans="1:10" x14ac:dyDescent="0.2">
      <c r="A117" t="s">
        <v>205</v>
      </c>
      <c r="B117" t="s">
        <v>120</v>
      </c>
      <c r="C117" t="s">
        <v>121</v>
      </c>
      <c r="D117" t="s">
        <v>464</v>
      </c>
      <c r="E117" s="1">
        <v>44470</v>
      </c>
      <c r="F117">
        <v>4320</v>
      </c>
      <c r="G117" t="s">
        <v>240</v>
      </c>
      <c r="H117" t="s">
        <v>241</v>
      </c>
      <c r="I117">
        <f t="shared" si="2"/>
        <v>2021</v>
      </c>
      <c r="J117">
        <f t="shared" si="3"/>
        <v>39</v>
      </c>
    </row>
    <row r="118" spans="1:10" x14ac:dyDescent="0.2">
      <c r="A118" t="s">
        <v>158</v>
      </c>
      <c r="B118" t="s">
        <v>120</v>
      </c>
      <c r="C118" t="s">
        <v>121</v>
      </c>
      <c r="D118" t="s">
        <v>464</v>
      </c>
      <c r="E118" s="1">
        <v>44477</v>
      </c>
      <c r="F118">
        <v>4530</v>
      </c>
      <c r="G118" t="s">
        <v>240</v>
      </c>
      <c r="H118" t="s">
        <v>241</v>
      </c>
      <c r="I118">
        <f t="shared" si="2"/>
        <v>2021</v>
      </c>
      <c r="J118">
        <f t="shared" si="3"/>
        <v>40</v>
      </c>
    </row>
    <row r="119" spans="1:10" x14ac:dyDescent="0.2">
      <c r="A119" t="s">
        <v>149</v>
      </c>
      <c r="B119" t="s">
        <v>120</v>
      </c>
      <c r="C119" t="s">
        <v>121</v>
      </c>
      <c r="D119" t="s">
        <v>464</v>
      </c>
      <c r="E119" s="1">
        <v>44484</v>
      </c>
      <c r="F119">
        <v>3840</v>
      </c>
      <c r="G119" t="s">
        <v>240</v>
      </c>
      <c r="H119" t="s">
        <v>241</v>
      </c>
      <c r="I119">
        <f t="shared" si="2"/>
        <v>2021</v>
      </c>
      <c r="J119">
        <f t="shared" si="3"/>
        <v>41</v>
      </c>
    </row>
    <row r="120" spans="1:10" x14ac:dyDescent="0.2">
      <c r="A120" t="s">
        <v>149</v>
      </c>
      <c r="B120" t="s">
        <v>120</v>
      </c>
      <c r="C120" t="s">
        <v>121</v>
      </c>
      <c r="D120" t="s">
        <v>464</v>
      </c>
      <c r="E120" s="1">
        <v>44491</v>
      </c>
      <c r="F120">
        <v>4860</v>
      </c>
      <c r="G120" t="s">
        <v>240</v>
      </c>
      <c r="H120" t="s">
        <v>241</v>
      </c>
      <c r="I120">
        <f t="shared" si="2"/>
        <v>2021</v>
      </c>
      <c r="J120">
        <f t="shared" si="3"/>
        <v>42</v>
      </c>
    </row>
    <row r="121" spans="1:10" x14ac:dyDescent="0.2">
      <c r="A121" t="s">
        <v>153</v>
      </c>
      <c r="B121" t="s">
        <v>120</v>
      </c>
      <c r="C121" t="s">
        <v>121</v>
      </c>
      <c r="D121" t="s">
        <v>464</v>
      </c>
      <c r="E121" s="1">
        <v>44498</v>
      </c>
      <c r="F121">
        <v>3880</v>
      </c>
      <c r="G121" t="s">
        <v>240</v>
      </c>
      <c r="H121" t="s">
        <v>241</v>
      </c>
      <c r="I121">
        <f t="shared" si="2"/>
        <v>2021</v>
      </c>
      <c r="J121">
        <f t="shared" si="3"/>
        <v>43</v>
      </c>
    </row>
    <row r="122" spans="1:10" x14ac:dyDescent="0.2">
      <c r="A122" t="s">
        <v>168</v>
      </c>
      <c r="B122" t="s">
        <v>120</v>
      </c>
      <c r="C122" t="s">
        <v>121</v>
      </c>
      <c r="D122" t="s">
        <v>464</v>
      </c>
      <c r="E122" s="1">
        <v>44505</v>
      </c>
      <c r="F122">
        <v>4130</v>
      </c>
      <c r="G122" t="s">
        <v>240</v>
      </c>
      <c r="H122" t="s">
        <v>241</v>
      </c>
      <c r="I122">
        <f t="shared" si="2"/>
        <v>2021</v>
      </c>
      <c r="J122">
        <f t="shared" si="3"/>
        <v>44</v>
      </c>
    </row>
    <row r="123" spans="1:10" x14ac:dyDescent="0.2">
      <c r="A123" t="s">
        <v>207</v>
      </c>
      <c r="B123" t="s">
        <v>120</v>
      </c>
      <c r="C123" t="s">
        <v>121</v>
      </c>
      <c r="D123" t="s">
        <v>464</v>
      </c>
      <c r="E123" s="1">
        <v>44512</v>
      </c>
      <c r="F123">
        <v>3620</v>
      </c>
      <c r="G123" t="s">
        <v>240</v>
      </c>
      <c r="H123" t="s">
        <v>241</v>
      </c>
      <c r="I123">
        <f t="shared" si="2"/>
        <v>2021</v>
      </c>
      <c r="J123">
        <f t="shared" si="3"/>
        <v>45</v>
      </c>
    </row>
    <row r="124" spans="1:10" x14ac:dyDescent="0.2">
      <c r="A124" t="s">
        <v>160</v>
      </c>
      <c r="B124" t="s">
        <v>120</v>
      </c>
      <c r="C124" t="s">
        <v>121</v>
      </c>
      <c r="D124" t="s">
        <v>464</v>
      </c>
      <c r="E124" s="1">
        <v>44519</v>
      </c>
      <c r="F124">
        <v>4210</v>
      </c>
      <c r="G124" t="s">
        <v>240</v>
      </c>
      <c r="H124" t="s">
        <v>241</v>
      </c>
      <c r="I124">
        <f t="shared" si="2"/>
        <v>2021</v>
      </c>
      <c r="J124">
        <f t="shared" si="3"/>
        <v>46</v>
      </c>
    </row>
    <row r="125" spans="1:10" x14ac:dyDescent="0.2">
      <c r="A125" t="s">
        <v>220</v>
      </c>
      <c r="B125" t="s">
        <v>120</v>
      </c>
      <c r="C125" t="s">
        <v>121</v>
      </c>
      <c r="D125" t="s">
        <v>464</v>
      </c>
      <c r="E125" s="1">
        <v>44526</v>
      </c>
      <c r="F125">
        <v>4990</v>
      </c>
      <c r="G125" t="s">
        <v>240</v>
      </c>
      <c r="H125" t="s">
        <v>241</v>
      </c>
      <c r="I125">
        <f t="shared" si="2"/>
        <v>2021</v>
      </c>
      <c r="J125">
        <f t="shared" si="3"/>
        <v>47</v>
      </c>
    </row>
    <row r="126" spans="1:10" x14ac:dyDescent="0.2">
      <c r="A126" t="s">
        <v>184</v>
      </c>
      <c r="B126" t="s">
        <v>120</v>
      </c>
      <c r="C126" t="s">
        <v>121</v>
      </c>
      <c r="D126" t="s">
        <v>464</v>
      </c>
      <c r="E126" s="1">
        <v>44533</v>
      </c>
      <c r="F126">
        <v>4090</v>
      </c>
      <c r="G126" t="s">
        <v>240</v>
      </c>
      <c r="H126" t="s">
        <v>241</v>
      </c>
      <c r="I126">
        <f t="shared" si="2"/>
        <v>2021</v>
      </c>
      <c r="J126">
        <f t="shared" si="3"/>
        <v>48</v>
      </c>
    </row>
    <row r="127" spans="1:10" x14ac:dyDescent="0.2">
      <c r="A127" t="s">
        <v>234</v>
      </c>
      <c r="B127" t="s">
        <v>120</v>
      </c>
      <c r="C127" t="s">
        <v>121</v>
      </c>
      <c r="D127" t="s">
        <v>464</v>
      </c>
      <c r="E127" s="1">
        <v>44540</v>
      </c>
      <c r="F127">
        <v>4840</v>
      </c>
      <c r="G127" t="s">
        <v>240</v>
      </c>
      <c r="H127" t="s">
        <v>241</v>
      </c>
      <c r="I127">
        <f t="shared" si="2"/>
        <v>2021</v>
      </c>
      <c r="J127">
        <f t="shared" si="3"/>
        <v>49</v>
      </c>
    </row>
    <row r="128" spans="1:10" x14ac:dyDescent="0.2">
      <c r="A128" t="s">
        <v>239</v>
      </c>
      <c r="B128" t="s">
        <v>120</v>
      </c>
      <c r="C128" t="s">
        <v>121</v>
      </c>
      <c r="D128" t="s">
        <v>464</v>
      </c>
      <c r="E128" s="1">
        <v>44547</v>
      </c>
      <c r="F128">
        <v>4630</v>
      </c>
      <c r="G128" t="s">
        <v>240</v>
      </c>
      <c r="H128" t="s">
        <v>241</v>
      </c>
      <c r="I128">
        <f t="shared" ref="I128:I191" si="4">YEAR(E128)</f>
        <v>2021</v>
      </c>
      <c r="J128">
        <f t="shared" ref="J128:J191" si="5">_xlfn.ISOWEEKNUM(E128)</f>
        <v>50</v>
      </c>
    </row>
    <row r="129" spans="1:10" x14ac:dyDescent="0.2">
      <c r="A129" t="s">
        <v>155</v>
      </c>
      <c r="B129" t="s">
        <v>120</v>
      </c>
      <c r="C129" t="s">
        <v>121</v>
      </c>
      <c r="D129" t="s">
        <v>464</v>
      </c>
      <c r="E129" s="1">
        <v>44554</v>
      </c>
      <c r="F129">
        <v>4280</v>
      </c>
      <c r="G129" t="s">
        <v>240</v>
      </c>
      <c r="H129" t="s">
        <v>241</v>
      </c>
      <c r="I129">
        <f t="shared" si="4"/>
        <v>2021</v>
      </c>
      <c r="J129">
        <f t="shared" si="5"/>
        <v>51</v>
      </c>
    </row>
    <row r="130" spans="1:10" x14ac:dyDescent="0.2">
      <c r="A130" t="s">
        <v>190</v>
      </c>
      <c r="B130" t="s">
        <v>120</v>
      </c>
      <c r="C130" t="s">
        <v>121</v>
      </c>
      <c r="D130" t="s">
        <v>464</v>
      </c>
      <c r="E130" s="1">
        <v>44561</v>
      </c>
      <c r="F130">
        <v>3740</v>
      </c>
      <c r="G130" t="s">
        <v>240</v>
      </c>
      <c r="H130" t="s">
        <v>241</v>
      </c>
      <c r="I130">
        <f t="shared" si="4"/>
        <v>2021</v>
      </c>
      <c r="J130">
        <f t="shared" si="5"/>
        <v>52</v>
      </c>
    </row>
    <row r="131" spans="1:10" x14ac:dyDescent="0.2">
      <c r="A131" t="s">
        <v>192</v>
      </c>
      <c r="B131" t="s">
        <v>120</v>
      </c>
      <c r="C131" t="s">
        <v>121</v>
      </c>
      <c r="D131" t="s">
        <v>464</v>
      </c>
      <c r="E131" s="1">
        <v>44568</v>
      </c>
      <c r="F131">
        <v>4710</v>
      </c>
      <c r="G131" t="s">
        <v>240</v>
      </c>
      <c r="H131" t="s">
        <v>241</v>
      </c>
      <c r="I131">
        <f t="shared" si="4"/>
        <v>2022</v>
      </c>
      <c r="J131">
        <f t="shared" si="5"/>
        <v>1</v>
      </c>
    </row>
    <row r="132" spans="1:10" x14ac:dyDescent="0.2">
      <c r="A132" t="s">
        <v>238</v>
      </c>
      <c r="B132" t="s">
        <v>120</v>
      </c>
      <c r="C132" t="s">
        <v>121</v>
      </c>
      <c r="D132" t="s">
        <v>464</v>
      </c>
      <c r="E132" s="1">
        <v>44575</v>
      </c>
      <c r="F132">
        <v>4900</v>
      </c>
      <c r="G132" t="s">
        <v>240</v>
      </c>
      <c r="H132" t="s">
        <v>241</v>
      </c>
      <c r="I132">
        <f t="shared" si="4"/>
        <v>2022</v>
      </c>
      <c r="J132">
        <f t="shared" si="5"/>
        <v>2</v>
      </c>
    </row>
    <row r="133" spans="1:10" x14ac:dyDescent="0.2">
      <c r="A133" t="s">
        <v>237</v>
      </c>
      <c r="B133" t="s">
        <v>120</v>
      </c>
      <c r="C133" t="s">
        <v>121</v>
      </c>
      <c r="D133" t="s">
        <v>464</v>
      </c>
      <c r="E133" s="1">
        <v>44582</v>
      </c>
      <c r="F133">
        <v>3620</v>
      </c>
      <c r="G133" t="s">
        <v>240</v>
      </c>
      <c r="H133" t="s">
        <v>241</v>
      </c>
      <c r="I133">
        <f t="shared" si="4"/>
        <v>2022</v>
      </c>
      <c r="J133">
        <f t="shared" si="5"/>
        <v>3</v>
      </c>
    </row>
    <row r="134" spans="1:10" x14ac:dyDescent="0.2">
      <c r="A134" t="s">
        <v>167</v>
      </c>
      <c r="B134" t="s">
        <v>120</v>
      </c>
      <c r="C134" t="s">
        <v>121</v>
      </c>
      <c r="D134" t="s">
        <v>464</v>
      </c>
      <c r="E134" s="1">
        <v>44589</v>
      </c>
      <c r="F134">
        <v>4010</v>
      </c>
      <c r="G134" t="s">
        <v>240</v>
      </c>
      <c r="H134" t="s">
        <v>241</v>
      </c>
      <c r="I134">
        <f t="shared" si="4"/>
        <v>2022</v>
      </c>
      <c r="J134">
        <f t="shared" si="5"/>
        <v>4</v>
      </c>
    </row>
    <row r="135" spans="1:10" x14ac:dyDescent="0.2">
      <c r="A135" t="s">
        <v>213</v>
      </c>
      <c r="B135" t="s">
        <v>120</v>
      </c>
      <c r="C135" t="s">
        <v>121</v>
      </c>
      <c r="D135" t="s">
        <v>464</v>
      </c>
      <c r="E135" s="1">
        <v>44596</v>
      </c>
      <c r="F135">
        <v>4060</v>
      </c>
      <c r="G135" t="s">
        <v>240</v>
      </c>
      <c r="H135" t="s">
        <v>241</v>
      </c>
      <c r="I135">
        <f t="shared" si="4"/>
        <v>2022</v>
      </c>
      <c r="J135">
        <f t="shared" si="5"/>
        <v>5</v>
      </c>
    </row>
    <row r="136" spans="1:10" x14ac:dyDescent="0.2">
      <c r="A136" t="s">
        <v>228</v>
      </c>
      <c r="B136" t="s">
        <v>120</v>
      </c>
      <c r="C136" t="s">
        <v>121</v>
      </c>
      <c r="D136" t="s">
        <v>464</v>
      </c>
      <c r="E136" s="1">
        <v>44603</v>
      </c>
      <c r="F136">
        <v>4040</v>
      </c>
      <c r="G136" t="s">
        <v>240</v>
      </c>
      <c r="H136" t="s">
        <v>241</v>
      </c>
      <c r="I136">
        <f t="shared" si="4"/>
        <v>2022</v>
      </c>
      <c r="J136">
        <f t="shared" si="5"/>
        <v>6</v>
      </c>
    </row>
    <row r="137" spans="1:10" x14ac:dyDescent="0.2">
      <c r="A137" t="s">
        <v>189</v>
      </c>
      <c r="B137" t="s">
        <v>120</v>
      </c>
      <c r="C137" t="s">
        <v>121</v>
      </c>
      <c r="D137" t="s">
        <v>464</v>
      </c>
      <c r="E137" s="1">
        <v>44610</v>
      </c>
      <c r="F137">
        <v>4130</v>
      </c>
      <c r="G137" t="s">
        <v>240</v>
      </c>
      <c r="H137" t="s">
        <v>241</v>
      </c>
      <c r="I137">
        <f t="shared" si="4"/>
        <v>2022</v>
      </c>
      <c r="J137">
        <f t="shared" si="5"/>
        <v>7</v>
      </c>
    </row>
    <row r="138" spans="1:10" x14ac:dyDescent="0.2">
      <c r="A138" t="s">
        <v>232</v>
      </c>
      <c r="B138" t="s">
        <v>120</v>
      </c>
      <c r="C138" t="s">
        <v>121</v>
      </c>
      <c r="D138" t="s">
        <v>464</v>
      </c>
      <c r="E138" s="1">
        <v>44617</v>
      </c>
      <c r="F138">
        <v>4050</v>
      </c>
      <c r="G138" t="s">
        <v>240</v>
      </c>
      <c r="H138" t="s">
        <v>241</v>
      </c>
      <c r="I138">
        <f t="shared" si="4"/>
        <v>2022</v>
      </c>
      <c r="J138">
        <f t="shared" si="5"/>
        <v>8</v>
      </c>
    </row>
    <row r="139" spans="1:10" x14ac:dyDescent="0.2">
      <c r="A139" t="s">
        <v>222</v>
      </c>
      <c r="B139" t="s">
        <v>120</v>
      </c>
      <c r="C139" t="s">
        <v>121</v>
      </c>
      <c r="D139" t="s">
        <v>464</v>
      </c>
      <c r="E139" s="1">
        <v>44624</v>
      </c>
      <c r="F139">
        <v>3590</v>
      </c>
      <c r="G139" t="s">
        <v>240</v>
      </c>
      <c r="H139" t="s">
        <v>241</v>
      </c>
      <c r="I139">
        <f t="shared" si="4"/>
        <v>2022</v>
      </c>
      <c r="J139">
        <f t="shared" si="5"/>
        <v>9</v>
      </c>
    </row>
    <row r="140" spans="1:10" x14ac:dyDescent="0.2">
      <c r="A140" t="s">
        <v>216</v>
      </c>
      <c r="B140" t="s">
        <v>120</v>
      </c>
      <c r="C140" t="s">
        <v>121</v>
      </c>
      <c r="D140" t="s">
        <v>464</v>
      </c>
      <c r="E140" s="1">
        <v>44631</v>
      </c>
      <c r="F140">
        <v>3770</v>
      </c>
      <c r="G140" t="s">
        <v>240</v>
      </c>
      <c r="H140" t="s">
        <v>241</v>
      </c>
      <c r="I140">
        <f t="shared" si="4"/>
        <v>2022</v>
      </c>
      <c r="J140">
        <f t="shared" si="5"/>
        <v>10</v>
      </c>
    </row>
    <row r="141" spans="1:10" x14ac:dyDescent="0.2">
      <c r="A141" t="s">
        <v>156</v>
      </c>
      <c r="B141" t="s">
        <v>120</v>
      </c>
      <c r="C141" t="s">
        <v>121</v>
      </c>
      <c r="D141" t="s">
        <v>464</v>
      </c>
      <c r="E141" s="1">
        <v>44638</v>
      </c>
      <c r="F141">
        <v>4940</v>
      </c>
      <c r="G141" t="s">
        <v>240</v>
      </c>
      <c r="H141" t="s">
        <v>241</v>
      </c>
      <c r="I141">
        <f t="shared" si="4"/>
        <v>2022</v>
      </c>
      <c r="J141">
        <f t="shared" si="5"/>
        <v>11</v>
      </c>
    </row>
    <row r="142" spans="1:10" x14ac:dyDescent="0.2">
      <c r="A142" t="s">
        <v>182</v>
      </c>
      <c r="B142" t="s">
        <v>120</v>
      </c>
      <c r="C142" t="s">
        <v>121</v>
      </c>
      <c r="D142" t="s">
        <v>464</v>
      </c>
      <c r="E142" s="1">
        <v>44645</v>
      </c>
      <c r="F142">
        <v>4790</v>
      </c>
      <c r="G142" t="s">
        <v>240</v>
      </c>
      <c r="H142" t="s">
        <v>241</v>
      </c>
      <c r="I142">
        <f t="shared" si="4"/>
        <v>2022</v>
      </c>
      <c r="J142">
        <f t="shared" si="5"/>
        <v>12</v>
      </c>
    </row>
    <row r="143" spans="1:10" x14ac:dyDescent="0.2">
      <c r="A143" t="s">
        <v>199</v>
      </c>
      <c r="B143" t="s">
        <v>120</v>
      </c>
      <c r="C143" t="s">
        <v>121</v>
      </c>
      <c r="D143" t="s">
        <v>464</v>
      </c>
      <c r="E143" s="1">
        <v>44652</v>
      </c>
      <c r="F143">
        <v>4850</v>
      </c>
      <c r="G143" t="s">
        <v>240</v>
      </c>
      <c r="H143" t="s">
        <v>241</v>
      </c>
      <c r="I143">
        <f t="shared" si="4"/>
        <v>2022</v>
      </c>
      <c r="J143">
        <f t="shared" si="5"/>
        <v>13</v>
      </c>
    </row>
    <row r="144" spans="1:10" x14ac:dyDescent="0.2">
      <c r="A144" t="s">
        <v>219</v>
      </c>
      <c r="B144" t="s">
        <v>120</v>
      </c>
      <c r="C144" t="s">
        <v>121</v>
      </c>
      <c r="D144" t="s">
        <v>464</v>
      </c>
      <c r="E144" s="1">
        <v>44659</v>
      </c>
      <c r="F144">
        <v>4000</v>
      </c>
      <c r="G144" t="s">
        <v>240</v>
      </c>
      <c r="H144" t="s">
        <v>241</v>
      </c>
      <c r="I144">
        <f t="shared" si="4"/>
        <v>2022</v>
      </c>
      <c r="J144">
        <f t="shared" si="5"/>
        <v>14</v>
      </c>
    </row>
    <row r="145" spans="1:10" x14ac:dyDescent="0.2">
      <c r="A145" t="s">
        <v>210</v>
      </c>
      <c r="B145" t="s">
        <v>120</v>
      </c>
      <c r="C145" t="s">
        <v>121</v>
      </c>
      <c r="D145" t="s">
        <v>464</v>
      </c>
      <c r="E145" s="1">
        <v>44666</v>
      </c>
      <c r="F145">
        <v>4530</v>
      </c>
      <c r="G145" t="s">
        <v>240</v>
      </c>
      <c r="H145" t="s">
        <v>241</v>
      </c>
      <c r="I145">
        <f t="shared" si="4"/>
        <v>2022</v>
      </c>
      <c r="J145">
        <f t="shared" si="5"/>
        <v>15</v>
      </c>
    </row>
    <row r="146" spans="1:10" x14ac:dyDescent="0.2">
      <c r="A146" t="s">
        <v>214</v>
      </c>
      <c r="B146" t="s">
        <v>120</v>
      </c>
      <c r="C146" t="s">
        <v>121</v>
      </c>
      <c r="D146" t="s">
        <v>464</v>
      </c>
      <c r="E146" s="1">
        <v>44673</v>
      </c>
      <c r="F146">
        <v>3910</v>
      </c>
      <c r="G146" t="s">
        <v>240</v>
      </c>
      <c r="H146" t="s">
        <v>241</v>
      </c>
      <c r="I146">
        <f t="shared" si="4"/>
        <v>2022</v>
      </c>
      <c r="J146">
        <f t="shared" si="5"/>
        <v>16</v>
      </c>
    </row>
    <row r="147" spans="1:10" x14ac:dyDescent="0.2">
      <c r="A147" t="s">
        <v>200</v>
      </c>
      <c r="B147" t="s">
        <v>120</v>
      </c>
      <c r="C147" t="s">
        <v>121</v>
      </c>
      <c r="D147" t="s">
        <v>464</v>
      </c>
      <c r="E147" s="1">
        <v>44680</v>
      </c>
      <c r="F147">
        <v>4990</v>
      </c>
      <c r="G147" t="s">
        <v>240</v>
      </c>
      <c r="H147" t="s">
        <v>241</v>
      </c>
      <c r="I147">
        <f t="shared" si="4"/>
        <v>2022</v>
      </c>
      <c r="J147">
        <f t="shared" si="5"/>
        <v>17</v>
      </c>
    </row>
    <row r="148" spans="1:10" x14ac:dyDescent="0.2">
      <c r="A148" t="s">
        <v>230</v>
      </c>
      <c r="B148" t="s">
        <v>120</v>
      </c>
      <c r="C148" t="s">
        <v>121</v>
      </c>
      <c r="D148" t="s">
        <v>464</v>
      </c>
      <c r="E148" s="1">
        <v>44687</v>
      </c>
      <c r="F148">
        <v>4900</v>
      </c>
      <c r="G148" t="s">
        <v>240</v>
      </c>
      <c r="H148" t="s">
        <v>241</v>
      </c>
      <c r="I148">
        <f t="shared" si="4"/>
        <v>2022</v>
      </c>
      <c r="J148">
        <f t="shared" si="5"/>
        <v>18</v>
      </c>
    </row>
    <row r="149" spans="1:10" x14ac:dyDescent="0.2">
      <c r="A149" t="s">
        <v>198</v>
      </c>
      <c r="B149" t="s">
        <v>120</v>
      </c>
      <c r="C149" t="s">
        <v>121</v>
      </c>
      <c r="D149" t="s">
        <v>464</v>
      </c>
      <c r="E149" s="1">
        <v>44694</v>
      </c>
      <c r="F149">
        <v>4700</v>
      </c>
      <c r="G149" t="s">
        <v>240</v>
      </c>
      <c r="H149" t="s">
        <v>241</v>
      </c>
      <c r="I149">
        <f t="shared" si="4"/>
        <v>2022</v>
      </c>
      <c r="J149">
        <f t="shared" si="5"/>
        <v>19</v>
      </c>
    </row>
    <row r="150" spans="1:10" x14ac:dyDescent="0.2">
      <c r="A150" t="s">
        <v>154</v>
      </c>
      <c r="B150" t="s">
        <v>120</v>
      </c>
      <c r="C150" t="s">
        <v>121</v>
      </c>
      <c r="D150" t="s">
        <v>464</v>
      </c>
      <c r="E150" s="1">
        <v>44701</v>
      </c>
      <c r="F150">
        <v>4450</v>
      </c>
      <c r="G150" t="s">
        <v>240</v>
      </c>
      <c r="H150" t="s">
        <v>241</v>
      </c>
      <c r="I150">
        <f t="shared" si="4"/>
        <v>2022</v>
      </c>
      <c r="J150">
        <f t="shared" si="5"/>
        <v>20</v>
      </c>
    </row>
    <row r="151" spans="1:10" x14ac:dyDescent="0.2">
      <c r="A151" t="s">
        <v>163</v>
      </c>
      <c r="B151" t="s">
        <v>120</v>
      </c>
      <c r="C151" t="s">
        <v>121</v>
      </c>
      <c r="D151" t="s">
        <v>464</v>
      </c>
      <c r="E151" s="1">
        <v>44708</v>
      </c>
      <c r="F151">
        <v>4410</v>
      </c>
      <c r="G151" t="s">
        <v>240</v>
      </c>
      <c r="H151" t="s">
        <v>241</v>
      </c>
      <c r="I151">
        <f t="shared" si="4"/>
        <v>2022</v>
      </c>
      <c r="J151">
        <f t="shared" si="5"/>
        <v>21</v>
      </c>
    </row>
    <row r="152" spans="1:10" x14ac:dyDescent="0.2">
      <c r="A152" t="s">
        <v>217</v>
      </c>
      <c r="B152" t="s">
        <v>120</v>
      </c>
      <c r="C152" t="s">
        <v>121</v>
      </c>
      <c r="D152" t="s">
        <v>464</v>
      </c>
      <c r="E152" s="1">
        <v>44715</v>
      </c>
      <c r="F152">
        <v>3600</v>
      </c>
      <c r="G152" t="s">
        <v>240</v>
      </c>
      <c r="H152" t="s">
        <v>241</v>
      </c>
      <c r="I152">
        <f t="shared" si="4"/>
        <v>2022</v>
      </c>
      <c r="J152">
        <f t="shared" si="5"/>
        <v>22</v>
      </c>
    </row>
    <row r="153" spans="1:10" x14ac:dyDescent="0.2">
      <c r="A153" t="s">
        <v>223</v>
      </c>
      <c r="B153" t="s">
        <v>120</v>
      </c>
      <c r="C153" t="s">
        <v>121</v>
      </c>
      <c r="D153" t="s">
        <v>464</v>
      </c>
      <c r="E153" s="1">
        <v>44722</v>
      </c>
      <c r="F153">
        <v>3730</v>
      </c>
      <c r="G153" t="s">
        <v>240</v>
      </c>
      <c r="H153" t="s">
        <v>241</v>
      </c>
      <c r="I153">
        <f t="shared" si="4"/>
        <v>2022</v>
      </c>
      <c r="J153">
        <f t="shared" si="5"/>
        <v>23</v>
      </c>
    </row>
    <row r="154" spans="1:10" x14ac:dyDescent="0.2">
      <c r="A154" t="s">
        <v>164</v>
      </c>
      <c r="B154" t="s">
        <v>120</v>
      </c>
      <c r="C154" t="s">
        <v>121</v>
      </c>
      <c r="D154" t="s">
        <v>464</v>
      </c>
      <c r="E154" s="1">
        <v>44729</v>
      </c>
      <c r="F154">
        <v>3900</v>
      </c>
      <c r="G154" t="s">
        <v>240</v>
      </c>
      <c r="H154" t="s">
        <v>241</v>
      </c>
      <c r="I154">
        <f t="shared" si="4"/>
        <v>2022</v>
      </c>
      <c r="J154">
        <f t="shared" si="5"/>
        <v>24</v>
      </c>
    </row>
    <row r="155" spans="1:10" x14ac:dyDescent="0.2">
      <c r="A155" t="s">
        <v>197</v>
      </c>
      <c r="B155" t="s">
        <v>120</v>
      </c>
      <c r="C155" t="s">
        <v>121</v>
      </c>
      <c r="D155" t="s">
        <v>464</v>
      </c>
      <c r="E155" s="1">
        <v>44736</v>
      </c>
      <c r="F155">
        <v>4480</v>
      </c>
      <c r="G155" t="s">
        <v>240</v>
      </c>
      <c r="H155" t="s">
        <v>241</v>
      </c>
      <c r="I155">
        <f t="shared" si="4"/>
        <v>2022</v>
      </c>
      <c r="J155">
        <f t="shared" si="5"/>
        <v>25</v>
      </c>
    </row>
    <row r="156" spans="1:10" x14ac:dyDescent="0.2">
      <c r="A156" t="s">
        <v>157</v>
      </c>
      <c r="B156" t="s">
        <v>120</v>
      </c>
      <c r="C156" t="s">
        <v>121</v>
      </c>
      <c r="D156" t="s">
        <v>464</v>
      </c>
      <c r="E156" s="1">
        <v>44743</v>
      </c>
      <c r="F156">
        <v>4780</v>
      </c>
      <c r="G156" t="s">
        <v>240</v>
      </c>
      <c r="H156" t="s">
        <v>241</v>
      </c>
      <c r="I156">
        <f t="shared" si="4"/>
        <v>2022</v>
      </c>
      <c r="J156">
        <f t="shared" si="5"/>
        <v>26</v>
      </c>
    </row>
    <row r="157" spans="1:10" x14ac:dyDescent="0.2">
      <c r="A157" t="s">
        <v>226</v>
      </c>
      <c r="B157" t="s">
        <v>120</v>
      </c>
      <c r="C157" t="s">
        <v>121</v>
      </c>
      <c r="D157" t="s">
        <v>464</v>
      </c>
      <c r="E157" s="1">
        <v>44750</v>
      </c>
      <c r="F157">
        <v>3670</v>
      </c>
      <c r="G157" t="s">
        <v>240</v>
      </c>
      <c r="H157" t="s">
        <v>241</v>
      </c>
      <c r="I157">
        <f t="shared" si="4"/>
        <v>2022</v>
      </c>
      <c r="J157">
        <f t="shared" si="5"/>
        <v>27</v>
      </c>
    </row>
    <row r="158" spans="1:10" x14ac:dyDescent="0.2">
      <c r="A158" t="s">
        <v>188</v>
      </c>
      <c r="B158" t="s">
        <v>120</v>
      </c>
      <c r="C158" t="s">
        <v>121</v>
      </c>
      <c r="D158" t="s">
        <v>464</v>
      </c>
      <c r="E158" s="1">
        <v>44757</v>
      </c>
      <c r="F158">
        <v>4180</v>
      </c>
      <c r="G158" t="s">
        <v>240</v>
      </c>
      <c r="H158" t="s">
        <v>241</v>
      </c>
      <c r="I158">
        <f t="shared" si="4"/>
        <v>2022</v>
      </c>
      <c r="J158">
        <f t="shared" si="5"/>
        <v>28</v>
      </c>
    </row>
    <row r="159" spans="1:10" x14ac:dyDescent="0.2">
      <c r="A159" t="s">
        <v>206</v>
      </c>
      <c r="B159" t="s">
        <v>120</v>
      </c>
      <c r="C159" t="s">
        <v>121</v>
      </c>
      <c r="D159" t="s">
        <v>464</v>
      </c>
      <c r="E159" s="1">
        <v>44764</v>
      </c>
      <c r="F159">
        <v>3530</v>
      </c>
      <c r="G159" t="s">
        <v>240</v>
      </c>
      <c r="H159" t="s">
        <v>241</v>
      </c>
      <c r="I159">
        <f t="shared" si="4"/>
        <v>2022</v>
      </c>
      <c r="J159">
        <f t="shared" si="5"/>
        <v>29</v>
      </c>
    </row>
    <row r="160" spans="1:10" x14ac:dyDescent="0.2">
      <c r="A160" t="s">
        <v>186</v>
      </c>
      <c r="B160" t="s">
        <v>120</v>
      </c>
      <c r="C160" t="s">
        <v>121</v>
      </c>
      <c r="D160" t="s">
        <v>464</v>
      </c>
      <c r="E160" s="1">
        <v>44771</v>
      </c>
      <c r="F160">
        <v>4560</v>
      </c>
      <c r="G160" t="s">
        <v>240</v>
      </c>
      <c r="H160" t="s">
        <v>241</v>
      </c>
      <c r="I160">
        <f t="shared" si="4"/>
        <v>2022</v>
      </c>
      <c r="J160">
        <f t="shared" si="5"/>
        <v>30</v>
      </c>
    </row>
    <row r="161" spans="1:10" x14ac:dyDescent="0.2">
      <c r="A161" t="s">
        <v>148</v>
      </c>
      <c r="B161" t="s">
        <v>120</v>
      </c>
      <c r="C161" t="s">
        <v>121</v>
      </c>
      <c r="D161" t="s">
        <v>464</v>
      </c>
      <c r="E161" s="1">
        <v>44778</v>
      </c>
      <c r="F161">
        <v>3530</v>
      </c>
      <c r="G161" t="s">
        <v>240</v>
      </c>
      <c r="H161" t="s">
        <v>241</v>
      </c>
      <c r="I161">
        <f t="shared" si="4"/>
        <v>2022</v>
      </c>
      <c r="J161">
        <f t="shared" si="5"/>
        <v>31</v>
      </c>
    </row>
    <row r="162" spans="1:10" x14ac:dyDescent="0.2">
      <c r="A162" t="s">
        <v>187</v>
      </c>
      <c r="B162" t="s">
        <v>120</v>
      </c>
      <c r="C162" t="s">
        <v>121</v>
      </c>
      <c r="D162" t="s">
        <v>464</v>
      </c>
      <c r="E162" s="1">
        <v>44785</v>
      </c>
      <c r="F162">
        <v>3570</v>
      </c>
      <c r="G162" t="s">
        <v>240</v>
      </c>
      <c r="H162" t="s">
        <v>241</v>
      </c>
      <c r="I162">
        <f t="shared" si="4"/>
        <v>2022</v>
      </c>
      <c r="J162">
        <f t="shared" si="5"/>
        <v>32</v>
      </c>
    </row>
    <row r="163" spans="1:10" x14ac:dyDescent="0.2">
      <c r="A163" t="s">
        <v>191</v>
      </c>
      <c r="B163" t="s">
        <v>120</v>
      </c>
      <c r="C163" t="s">
        <v>121</v>
      </c>
      <c r="D163" t="s">
        <v>464</v>
      </c>
      <c r="E163" s="1">
        <v>44792</v>
      </c>
      <c r="F163">
        <v>4790</v>
      </c>
      <c r="G163" t="s">
        <v>240</v>
      </c>
      <c r="H163" t="s">
        <v>241</v>
      </c>
      <c r="I163">
        <f t="shared" si="4"/>
        <v>2022</v>
      </c>
      <c r="J163">
        <f t="shared" si="5"/>
        <v>33</v>
      </c>
    </row>
    <row r="164" spans="1:10" x14ac:dyDescent="0.2">
      <c r="A164" t="s">
        <v>150</v>
      </c>
      <c r="B164" t="s">
        <v>120</v>
      </c>
      <c r="C164" t="s">
        <v>121</v>
      </c>
      <c r="D164" t="s">
        <v>464</v>
      </c>
      <c r="E164" s="1">
        <v>44799</v>
      </c>
      <c r="F164">
        <v>4020</v>
      </c>
      <c r="G164" t="s">
        <v>240</v>
      </c>
      <c r="H164" t="s">
        <v>241</v>
      </c>
      <c r="I164">
        <f t="shared" si="4"/>
        <v>2022</v>
      </c>
      <c r="J164">
        <f t="shared" si="5"/>
        <v>34</v>
      </c>
    </row>
    <row r="165" spans="1:10" x14ac:dyDescent="0.2">
      <c r="A165" t="s">
        <v>170</v>
      </c>
      <c r="B165" t="s">
        <v>120</v>
      </c>
      <c r="C165" t="s">
        <v>121</v>
      </c>
      <c r="D165" t="s">
        <v>464</v>
      </c>
      <c r="E165" s="1">
        <v>44806</v>
      </c>
      <c r="F165">
        <v>4420</v>
      </c>
      <c r="G165" t="s">
        <v>240</v>
      </c>
      <c r="H165" t="s">
        <v>241</v>
      </c>
      <c r="I165">
        <f t="shared" si="4"/>
        <v>2022</v>
      </c>
      <c r="J165">
        <f t="shared" si="5"/>
        <v>35</v>
      </c>
    </row>
    <row r="166" spans="1:10" x14ac:dyDescent="0.2">
      <c r="A166" t="s">
        <v>171</v>
      </c>
      <c r="B166" t="s">
        <v>120</v>
      </c>
      <c r="C166" t="s">
        <v>121</v>
      </c>
      <c r="D166" t="s">
        <v>464</v>
      </c>
      <c r="E166" s="1">
        <v>44813</v>
      </c>
      <c r="F166">
        <v>3710</v>
      </c>
      <c r="G166" t="s">
        <v>240</v>
      </c>
      <c r="H166" t="s">
        <v>241</v>
      </c>
      <c r="I166">
        <f t="shared" si="4"/>
        <v>2022</v>
      </c>
      <c r="J166">
        <f t="shared" si="5"/>
        <v>36</v>
      </c>
    </row>
    <row r="167" spans="1:10" x14ac:dyDescent="0.2">
      <c r="A167" t="s">
        <v>193</v>
      </c>
      <c r="B167" t="s">
        <v>120</v>
      </c>
      <c r="C167" t="s">
        <v>121</v>
      </c>
      <c r="D167" t="s">
        <v>464</v>
      </c>
      <c r="E167" s="1">
        <v>44820</v>
      </c>
      <c r="F167">
        <v>4250</v>
      </c>
      <c r="G167" t="s">
        <v>240</v>
      </c>
      <c r="H167" t="s">
        <v>241</v>
      </c>
      <c r="I167">
        <f t="shared" si="4"/>
        <v>2022</v>
      </c>
      <c r="J167">
        <f t="shared" si="5"/>
        <v>37</v>
      </c>
    </row>
    <row r="168" spans="1:10" x14ac:dyDescent="0.2">
      <c r="A168" t="s">
        <v>225</v>
      </c>
      <c r="B168" t="s">
        <v>120</v>
      </c>
      <c r="C168" t="s">
        <v>121</v>
      </c>
      <c r="D168" t="s">
        <v>464</v>
      </c>
      <c r="E168" s="1">
        <v>44827</v>
      </c>
      <c r="F168">
        <v>4650</v>
      </c>
      <c r="G168" t="s">
        <v>240</v>
      </c>
      <c r="H168" t="s">
        <v>241</v>
      </c>
      <c r="I168">
        <f t="shared" si="4"/>
        <v>2022</v>
      </c>
      <c r="J168">
        <f t="shared" si="5"/>
        <v>38</v>
      </c>
    </row>
    <row r="169" spans="1:10" x14ac:dyDescent="0.2">
      <c r="A169" t="s">
        <v>152</v>
      </c>
      <c r="B169" t="s">
        <v>120</v>
      </c>
      <c r="C169" t="s">
        <v>121</v>
      </c>
      <c r="D169" t="s">
        <v>464</v>
      </c>
      <c r="E169" s="1">
        <v>44834</v>
      </c>
      <c r="F169">
        <v>3890</v>
      </c>
      <c r="G169" t="s">
        <v>240</v>
      </c>
      <c r="H169" t="s">
        <v>241</v>
      </c>
      <c r="I169">
        <f t="shared" si="4"/>
        <v>2022</v>
      </c>
      <c r="J169">
        <f t="shared" si="5"/>
        <v>39</v>
      </c>
    </row>
    <row r="170" spans="1:10" x14ac:dyDescent="0.2">
      <c r="A170" t="s">
        <v>174</v>
      </c>
      <c r="B170" t="s">
        <v>120</v>
      </c>
      <c r="C170" t="s">
        <v>121</v>
      </c>
      <c r="D170" t="s">
        <v>464</v>
      </c>
      <c r="E170" s="1">
        <v>44841</v>
      </c>
      <c r="F170">
        <v>3530</v>
      </c>
      <c r="G170" t="s">
        <v>240</v>
      </c>
      <c r="H170" t="s">
        <v>241</v>
      </c>
      <c r="I170">
        <f t="shared" si="4"/>
        <v>2022</v>
      </c>
      <c r="J170">
        <f t="shared" si="5"/>
        <v>40</v>
      </c>
    </row>
    <row r="171" spans="1:10" x14ac:dyDescent="0.2">
      <c r="A171" t="s">
        <v>202</v>
      </c>
      <c r="B171" t="s">
        <v>120</v>
      </c>
      <c r="C171" t="s">
        <v>121</v>
      </c>
      <c r="D171" t="s">
        <v>464</v>
      </c>
      <c r="E171" s="1">
        <v>44848</v>
      </c>
      <c r="F171">
        <v>3770</v>
      </c>
      <c r="G171" t="s">
        <v>240</v>
      </c>
      <c r="H171" t="s">
        <v>241</v>
      </c>
      <c r="I171">
        <f t="shared" si="4"/>
        <v>2022</v>
      </c>
      <c r="J171">
        <f t="shared" si="5"/>
        <v>41</v>
      </c>
    </row>
    <row r="172" spans="1:10" x14ac:dyDescent="0.2">
      <c r="A172" t="s">
        <v>231</v>
      </c>
      <c r="B172" t="s">
        <v>120</v>
      </c>
      <c r="C172" t="s">
        <v>121</v>
      </c>
      <c r="D172" t="s">
        <v>464</v>
      </c>
      <c r="E172" s="1">
        <v>44855</v>
      </c>
      <c r="F172">
        <v>3680</v>
      </c>
      <c r="G172" t="s">
        <v>240</v>
      </c>
      <c r="H172" t="s">
        <v>241</v>
      </c>
      <c r="I172">
        <f t="shared" si="4"/>
        <v>2022</v>
      </c>
      <c r="J172">
        <f t="shared" si="5"/>
        <v>42</v>
      </c>
    </row>
    <row r="173" spans="1:10" x14ac:dyDescent="0.2">
      <c r="A173" t="s">
        <v>165</v>
      </c>
      <c r="B173" t="s">
        <v>120</v>
      </c>
      <c r="C173" t="s">
        <v>121</v>
      </c>
      <c r="D173" t="s">
        <v>464</v>
      </c>
      <c r="E173" s="1">
        <v>44862</v>
      </c>
      <c r="F173">
        <v>4330</v>
      </c>
      <c r="G173" t="s">
        <v>240</v>
      </c>
      <c r="H173" t="s">
        <v>241</v>
      </c>
      <c r="I173">
        <f t="shared" si="4"/>
        <v>2022</v>
      </c>
      <c r="J173">
        <f t="shared" si="5"/>
        <v>43</v>
      </c>
    </row>
    <row r="174" spans="1:10" x14ac:dyDescent="0.2">
      <c r="A174" t="s">
        <v>151</v>
      </c>
      <c r="B174" t="s">
        <v>120</v>
      </c>
      <c r="C174" t="s">
        <v>121</v>
      </c>
      <c r="D174" t="s">
        <v>464</v>
      </c>
      <c r="E174" s="1">
        <v>44869</v>
      </c>
      <c r="F174">
        <v>4660</v>
      </c>
      <c r="G174" t="s">
        <v>240</v>
      </c>
      <c r="H174" t="s">
        <v>241</v>
      </c>
      <c r="I174">
        <f t="shared" si="4"/>
        <v>2022</v>
      </c>
      <c r="J174">
        <f t="shared" si="5"/>
        <v>44</v>
      </c>
    </row>
    <row r="175" spans="1:10" x14ac:dyDescent="0.2">
      <c r="A175" t="s">
        <v>166</v>
      </c>
      <c r="B175" t="s">
        <v>120</v>
      </c>
      <c r="C175" t="s">
        <v>121</v>
      </c>
      <c r="D175" t="s">
        <v>464</v>
      </c>
      <c r="E175" s="1">
        <v>44876</v>
      </c>
      <c r="F175">
        <v>3990</v>
      </c>
      <c r="G175" t="s">
        <v>240</v>
      </c>
      <c r="H175" t="s">
        <v>241</v>
      </c>
      <c r="I175">
        <f t="shared" si="4"/>
        <v>2022</v>
      </c>
      <c r="J175">
        <f t="shared" si="5"/>
        <v>45</v>
      </c>
    </row>
    <row r="176" spans="1:10" x14ac:dyDescent="0.2">
      <c r="A176" t="s">
        <v>173</v>
      </c>
      <c r="B176" t="s">
        <v>120</v>
      </c>
      <c r="C176" t="s">
        <v>121</v>
      </c>
      <c r="D176" t="s">
        <v>464</v>
      </c>
      <c r="E176" s="1">
        <v>44883</v>
      </c>
      <c r="F176">
        <v>3660</v>
      </c>
      <c r="G176" t="s">
        <v>240</v>
      </c>
      <c r="H176" t="s">
        <v>241</v>
      </c>
      <c r="I176">
        <f t="shared" si="4"/>
        <v>2022</v>
      </c>
      <c r="J176">
        <f t="shared" si="5"/>
        <v>46</v>
      </c>
    </row>
    <row r="177" spans="1:10" x14ac:dyDescent="0.2">
      <c r="A177" t="s">
        <v>180</v>
      </c>
      <c r="B177" t="s">
        <v>120</v>
      </c>
      <c r="C177" t="s">
        <v>121</v>
      </c>
      <c r="D177" t="s">
        <v>464</v>
      </c>
      <c r="E177" s="1">
        <v>44890</v>
      </c>
      <c r="F177">
        <v>4520</v>
      </c>
      <c r="G177" t="s">
        <v>240</v>
      </c>
      <c r="H177" t="s">
        <v>241</v>
      </c>
      <c r="I177">
        <f t="shared" si="4"/>
        <v>2022</v>
      </c>
      <c r="J177">
        <f t="shared" si="5"/>
        <v>47</v>
      </c>
    </row>
    <row r="178" spans="1:10" x14ac:dyDescent="0.2">
      <c r="A178" t="s">
        <v>208</v>
      </c>
      <c r="B178" t="s">
        <v>120</v>
      </c>
      <c r="C178" t="s">
        <v>121</v>
      </c>
      <c r="D178" t="s">
        <v>464</v>
      </c>
      <c r="E178" s="1">
        <v>44897</v>
      </c>
      <c r="F178">
        <v>4500</v>
      </c>
      <c r="G178" t="s">
        <v>240</v>
      </c>
      <c r="H178" t="s">
        <v>241</v>
      </c>
      <c r="I178">
        <f t="shared" si="4"/>
        <v>2022</v>
      </c>
      <c r="J178">
        <f t="shared" si="5"/>
        <v>48</v>
      </c>
    </row>
    <row r="179" spans="1:10" x14ac:dyDescent="0.2">
      <c r="A179" t="s">
        <v>183</v>
      </c>
      <c r="B179" t="s">
        <v>120</v>
      </c>
      <c r="C179" t="s">
        <v>121</v>
      </c>
      <c r="D179" t="s">
        <v>464</v>
      </c>
      <c r="E179" s="1">
        <v>44904</v>
      </c>
      <c r="F179">
        <v>4300</v>
      </c>
      <c r="G179" t="s">
        <v>240</v>
      </c>
      <c r="H179" t="s">
        <v>241</v>
      </c>
      <c r="I179">
        <f t="shared" si="4"/>
        <v>2022</v>
      </c>
      <c r="J179">
        <f t="shared" si="5"/>
        <v>49</v>
      </c>
    </row>
    <row r="180" spans="1:10" x14ac:dyDescent="0.2">
      <c r="A180" t="s">
        <v>147</v>
      </c>
      <c r="B180" t="s">
        <v>120</v>
      </c>
      <c r="C180" t="s">
        <v>121</v>
      </c>
      <c r="D180" t="s">
        <v>464</v>
      </c>
      <c r="E180" s="1">
        <v>44911</v>
      </c>
      <c r="F180">
        <v>3950</v>
      </c>
      <c r="G180" t="s">
        <v>240</v>
      </c>
      <c r="H180" t="s">
        <v>241</v>
      </c>
      <c r="I180">
        <f t="shared" si="4"/>
        <v>2022</v>
      </c>
      <c r="J180">
        <f t="shared" si="5"/>
        <v>50</v>
      </c>
    </row>
    <row r="181" spans="1:10" x14ac:dyDescent="0.2">
      <c r="A181" t="s">
        <v>147</v>
      </c>
      <c r="B181" t="s">
        <v>120</v>
      </c>
      <c r="C181" t="s">
        <v>121</v>
      </c>
      <c r="D181" t="s">
        <v>464</v>
      </c>
      <c r="E181" s="1">
        <v>44918</v>
      </c>
      <c r="F181">
        <v>3780</v>
      </c>
      <c r="G181" t="s">
        <v>240</v>
      </c>
      <c r="H181" t="s">
        <v>241</v>
      </c>
      <c r="I181">
        <f t="shared" si="4"/>
        <v>2022</v>
      </c>
      <c r="J181">
        <f t="shared" si="5"/>
        <v>51</v>
      </c>
    </row>
    <row r="182" spans="1:10" x14ac:dyDescent="0.2">
      <c r="A182" t="s">
        <v>181</v>
      </c>
      <c r="B182" t="s">
        <v>120</v>
      </c>
      <c r="C182" t="s">
        <v>121</v>
      </c>
      <c r="D182" t="s">
        <v>464</v>
      </c>
      <c r="E182" s="1">
        <v>44925</v>
      </c>
      <c r="F182">
        <v>3930</v>
      </c>
      <c r="G182" t="s">
        <v>240</v>
      </c>
      <c r="H182" t="s">
        <v>241</v>
      </c>
      <c r="I182">
        <f t="shared" si="4"/>
        <v>2022</v>
      </c>
      <c r="J182">
        <f t="shared" si="5"/>
        <v>52</v>
      </c>
    </row>
    <row r="183" spans="1:10" x14ac:dyDescent="0.2">
      <c r="A183" t="s">
        <v>236</v>
      </c>
      <c r="B183" t="s">
        <v>120</v>
      </c>
      <c r="C183" t="s">
        <v>121</v>
      </c>
      <c r="D183" t="s">
        <v>464</v>
      </c>
      <c r="E183" s="1">
        <v>44932</v>
      </c>
      <c r="F183">
        <v>4810</v>
      </c>
      <c r="G183" t="s">
        <v>240</v>
      </c>
      <c r="H183" t="s">
        <v>241</v>
      </c>
      <c r="I183">
        <f t="shared" si="4"/>
        <v>2023</v>
      </c>
      <c r="J183">
        <f t="shared" si="5"/>
        <v>1</v>
      </c>
    </row>
    <row r="184" spans="1:10" x14ac:dyDescent="0.2">
      <c r="A184" t="s">
        <v>179</v>
      </c>
      <c r="B184" t="s">
        <v>120</v>
      </c>
      <c r="C184" t="s">
        <v>121</v>
      </c>
      <c r="D184" t="s">
        <v>464</v>
      </c>
      <c r="E184" s="1">
        <v>44939</v>
      </c>
      <c r="F184">
        <v>4670</v>
      </c>
      <c r="G184" t="s">
        <v>240</v>
      </c>
      <c r="H184" t="s">
        <v>241</v>
      </c>
      <c r="I184">
        <f t="shared" si="4"/>
        <v>2023</v>
      </c>
      <c r="J184">
        <f t="shared" si="5"/>
        <v>2</v>
      </c>
    </row>
    <row r="185" spans="1:10" x14ac:dyDescent="0.2">
      <c r="A185" t="s">
        <v>179</v>
      </c>
      <c r="B185" t="s">
        <v>120</v>
      </c>
      <c r="C185" t="s">
        <v>121</v>
      </c>
      <c r="D185" t="s">
        <v>464</v>
      </c>
      <c r="E185" s="1">
        <v>44946</v>
      </c>
      <c r="F185">
        <v>4610</v>
      </c>
      <c r="G185" t="s">
        <v>240</v>
      </c>
      <c r="H185" t="s">
        <v>241</v>
      </c>
      <c r="I185">
        <f t="shared" si="4"/>
        <v>2023</v>
      </c>
      <c r="J185">
        <f t="shared" si="5"/>
        <v>3</v>
      </c>
    </row>
    <row r="186" spans="1:10" x14ac:dyDescent="0.2">
      <c r="A186" t="s">
        <v>175</v>
      </c>
      <c r="B186" t="s">
        <v>120</v>
      </c>
      <c r="C186" t="s">
        <v>121</v>
      </c>
      <c r="D186" t="s">
        <v>464</v>
      </c>
      <c r="E186" s="1">
        <v>44953</v>
      </c>
      <c r="F186">
        <v>4390</v>
      </c>
      <c r="G186" t="s">
        <v>240</v>
      </c>
      <c r="H186" t="s">
        <v>241</v>
      </c>
      <c r="I186">
        <f t="shared" si="4"/>
        <v>2023</v>
      </c>
      <c r="J186">
        <f t="shared" si="5"/>
        <v>4</v>
      </c>
    </row>
    <row r="187" spans="1:10" x14ac:dyDescent="0.2">
      <c r="A187" t="s">
        <v>162</v>
      </c>
      <c r="B187" t="s">
        <v>120</v>
      </c>
      <c r="C187" t="s">
        <v>121</v>
      </c>
      <c r="D187" t="s">
        <v>464</v>
      </c>
      <c r="E187" s="1">
        <v>44960</v>
      </c>
      <c r="F187">
        <v>4670</v>
      </c>
      <c r="G187" t="s">
        <v>240</v>
      </c>
      <c r="H187" t="s">
        <v>241</v>
      </c>
      <c r="I187">
        <f t="shared" si="4"/>
        <v>2023</v>
      </c>
      <c r="J187">
        <f t="shared" si="5"/>
        <v>5</v>
      </c>
    </row>
    <row r="188" spans="1:10" x14ac:dyDescent="0.2">
      <c r="A188" t="s">
        <v>212</v>
      </c>
      <c r="B188" t="s">
        <v>120</v>
      </c>
      <c r="C188" t="s">
        <v>121</v>
      </c>
      <c r="D188" t="s">
        <v>464</v>
      </c>
      <c r="E188" s="1">
        <v>44967</v>
      </c>
      <c r="F188">
        <v>4040</v>
      </c>
      <c r="G188" t="s">
        <v>240</v>
      </c>
      <c r="H188" t="s">
        <v>241</v>
      </c>
      <c r="I188">
        <f t="shared" si="4"/>
        <v>2023</v>
      </c>
      <c r="J188">
        <f t="shared" si="5"/>
        <v>6</v>
      </c>
    </row>
    <row r="189" spans="1:10" x14ac:dyDescent="0.2">
      <c r="A189" t="s">
        <v>221</v>
      </c>
      <c r="B189" t="s">
        <v>120</v>
      </c>
      <c r="C189" t="s">
        <v>121</v>
      </c>
      <c r="D189" t="s">
        <v>464</v>
      </c>
      <c r="E189" s="1">
        <v>44974</v>
      </c>
      <c r="F189">
        <v>3570</v>
      </c>
      <c r="G189" t="s">
        <v>240</v>
      </c>
      <c r="H189" t="s">
        <v>241</v>
      </c>
      <c r="I189">
        <f t="shared" si="4"/>
        <v>2023</v>
      </c>
      <c r="J189">
        <f t="shared" si="5"/>
        <v>7</v>
      </c>
    </row>
    <row r="190" spans="1:10" x14ac:dyDescent="0.2">
      <c r="A190" t="s">
        <v>204</v>
      </c>
      <c r="B190" t="s">
        <v>120</v>
      </c>
      <c r="C190" t="s">
        <v>121</v>
      </c>
      <c r="D190" t="s">
        <v>464</v>
      </c>
      <c r="E190" s="1">
        <v>44981</v>
      </c>
      <c r="F190">
        <v>3950</v>
      </c>
      <c r="G190" t="s">
        <v>240</v>
      </c>
      <c r="H190" t="s">
        <v>241</v>
      </c>
      <c r="I190">
        <f t="shared" si="4"/>
        <v>2023</v>
      </c>
      <c r="J190">
        <f t="shared" si="5"/>
        <v>8</v>
      </c>
    </row>
    <row r="191" spans="1:10" x14ac:dyDescent="0.2">
      <c r="A191" t="s">
        <v>159</v>
      </c>
      <c r="B191" t="s">
        <v>120</v>
      </c>
      <c r="C191" t="s">
        <v>121</v>
      </c>
      <c r="D191" t="s">
        <v>464</v>
      </c>
      <c r="E191" s="1">
        <v>44988</v>
      </c>
      <c r="F191">
        <v>4140</v>
      </c>
      <c r="G191" t="s">
        <v>240</v>
      </c>
      <c r="H191" t="s">
        <v>241</v>
      </c>
      <c r="I191">
        <f t="shared" si="4"/>
        <v>2023</v>
      </c>
      <c r="J191">
        <f t="shared" si="5"/>
        <v>9</v>
      </c>
    </row>
    <row r="192" spans="1:10" x14ac:dyDescent="0.2">
      <c r="A192" t="s">
        <v>215</v>
      </c>
      <c r="B192" t="s">
        <v>120</v>
      </c>
      <c r="C192" t="s">
        <v>121</v>
      </c>
      <c r="D192" t="s">
        <v>464</v>
      </c>
      <c r="E192" s="1">
        <v>44995</v>
      </c>
      <c r="F192">
        <v>4420</v>
      </c>
      <c r="G192" t="s">
        <v>240</v>
      </c>
      <c r="H192" t="s">
        <v>241</v>
      </c>
      <c r="I192">
        <f t="shared" ref="I192:I252" si="6">YEAR(E192)</f>
        <v>2023</v>
      </c>
      <c r="J192">
        <f t="shared" ref="J192:J252" si="7">_xlfn.ISOWEEKNUM(E192)</f>
        <v>10</v>
      </c>
    </row>
    <row r="193" spans="1:10" x14ac:dyDescent="0.2">
      <c r="A193" t="s">
        <v>209</v>
      </c>
      <c r="B193" t="s">
        <v>120</v>
      </c>
      <c r="C193" t="s">
        <v>121</v>
      </c>
      <c r="D193" t="s">
        <v>464</v>
      </c>
      <c r="E193" s="1">
        <v>45002</v>
      </c>
      <c r="F193">
        <v>4280</v>
      </c>
      <c r="G193" t="s">
        <v>240</v>
      </c>
      <c r="H193" t="s">
        <v>241</v>
      </c>
      <c r="I193">
        <f t="shared" si="6"/>
        <v>2023</v>
      </c>
      <c r="J193">
        <f t="shared" si="7"/>
        <v>11</v>
      </c>
    </row>
    <row r="194" spans="1:10" x14ac:dyDescent="0.2">
      <c r="A194" t="s">
        <v>235</v>
      </c>
      <c r="B194" t="s">
        <v>120</v>
      </c>
      <c r="C194" t="s">
        <v>121</v>
      </c>
      <c r="D194" t="s">
        <v>464</v>
      </c>
      <c r="E194" s="1">
        <v>45009</v>
      </c>
      <c r="F194">
        <v>4340</v>
      </c>
      <c r="G194" t="s">
        <v>240</v>
      </c>
      <c r="H194" t="s">
        <v>241</v>
      </c>
      <c r="I194">
        <f t="shared" si="6"/>
        <v>2023</v>
      </c>
      <c r="J194">
        <f t="shared" si="7"/>
        <v>12</v>
      </c>
    </row>
    <row r="195" spans="1:10" x14ac:dyDescent="0.2">
      <c r="A195" t="s">
        <v>235</v>
      </c>
      <c r="B195" t="s">
        <v>120</v>
      </c>
      <c r="C195" t="s">
        <v>121</v>
      </c>
      <c r="D195" t="s">
        <v>464</v>
      </c>
      <c r="E195" s="1">
        <v>45016</v>
      </c>
      <c r="F195">
        <v>4990</v>
      </c>
      <c r="G195" t="s">
        <v>240</v>
      </c>
      <c r="H195" t="s">
        <v>241</v>
      </c>
      <c r="I195">
        <f t="shared" si="6"/>
        <v>2023</v>
      </c>
      <c r="J195">
        <f t="shared" si="7"/>
        <v>13</v>
      </c>
    </row>
    <row r="196" spans="1:10" x14ac:dyDescent="0.2">
      <c r="A196" t="s">
        <v>172</v>
      </c>
      <c r="B196" t="s">
        <v>120</v>
      </c>
      <c r="C196" t="s">
        <v>121</v>
      </c>
      <c r="D196" t="s">
        <v>464</v>
      </c>
      <c r="E196" s="1">
        <v>45023</v>
      </c>
      <c r="F196">
        <v>3830</v>
      </c>
      <c r="G196" t="s">
        <v>240</v>
      </c>
      <c r="H196" t="s">
        <v>241</v>
      </c>
      <c r="I196">
        <f t="shared" si="6"/>
        <v>2023</v>
      </c>
      <c r="J196">
        <f t="shared" si="7"/>
        <v>14</v>
      </c>
    </row>
    <row r="197" spans="1:10" x14ac:dyDescent="0.2">
      <c r="A197" t="s">
        <v>196</v>
      </c>
      <c r="B197" t="s">
        <v>120</v>
      </c>
      <c r="C197" t="s">
        <v>121</v>
      </c>
      <c r="D197" t="s">
        <v>464</v>
      </c>
      <c r="E197" s="1">
        <v>45030</v>
      </c>
      <c r="F197">
        <v>3550</v>
      </c>
      <c r="G197" t="s">
        <v>240</v>
      </c>
      <c r="H197" t="s">
        <v>241</v>
      </c>
      <c r="I197">
        <f t="shared" si="6"/>
        <v>2023</v>
      </c>
      <c r="J197">
        <f t="shared" si="7"/>
        <v>15</v>
      </c>
    </row>
    <row r="198" spans="1:10" x14ac:dyDescent="0.2">
      <c r="A198" t="s">
        <v>250</v>
      </c>
      <c r="B198" t="s">
        <v>120</v>
      </c>
      <c r="C198" t="s">
        <v>121</v>
      </c>
      <c r="D198" t="s">
        <v>464</v>
      </c>
      <c r="E198" s="1">
        <v>44358</v>
      </c>
      <c r="F198">
        <v>5220</v>
      </c>
      <c r="G198" t="s">
        <v>242</v>
      </c>
      <c r="H198" t="s">
        <v>243</v>
      </c>
      <c r="I198">
        <f t="shared" si="6"/>
        <v>2021</v>
      </c>
      <c r="J198">
        <f t="shared" si="7"/>
        <v>23</v>
      </c>
    </row>
    <row r="199" spans="1:10" x14ac:dyDescent="0.2">
      <c r="A199" t="s">
        <v>259</v>
      </c>
      <c r="B199" t="s">
        <v>120</v>
      </c>
      <c r="C199" t="s">
        <v>121</v>
      </c>
      <c r="D199" t="s">
        <v>464</v>
      </c>
      <c r="E199" s="1">
        <v>44365</v>
      </c>
      <c r="F199">
        <v>6850</v>
      </c>
      <c r="G199" t="s">
        <v>242</v>
      </c>
      <c r="H199" t="s">
        <v>243</v>
      </c>
      <c r="I199">
        <f t="shared" si="6"/>
        <v>2021</v>
      </c>
      <c r="J199">
        <f t="shared" si="7"/>
        <v>24</v>
      </c>
    </row>
    <row r="200" spans="1:10" x14ac:dyDescent="0.2">
      <c r="A200" t="s">
        <v>331</v>
      </c>
      <c r="B200" t="s">
        <v>120</v>
      </c>
      <c r="C200" t="s">
        <v>121</v>
      </c>
      <c r="D200" t="s">
        <v>464</v>
      </c>
      <c r="E200" s="1">
        <v>44372</v>
      </c>
      <c r="F200">
        <v>5890</v>
      </c>
      <c r="G200" t="s">
        <v>242</v>
      </c>
      <c r="H200" t="s">
        <v>243</v>
      </c>
      <c r="I200">
        <f t="shared" si="6"/>
        <v>2021</v>
      </c>
      <c r="J200">
        <f t="shared" si="7"/>
        <v>25</v>
      </c>
    </row>
    <row r="201" spans="1:10" x14ac:dyDescent="0.2">
      <c r="A201" t="s">
        <v>246</v>
      </c>
      <c r="B201" t="s">
        <v>120</v>
      </c>
      <c r="C201" t="s">
        <v>121</v>
      </c>
      <c r="D201" t="s">
        <v>464</v>
      </c>
      <c r="E201" s="1">
        <v>44379</v>
      </c>
      <c r="F201">
        <v>6240</v>
      </c>
      <c r="G201" t="s">
        <v>242</v>
      </c>
      <c r="H201" t="s">
        <v>243</v>
      </c>
      <c r="I201">
        <f t="shared" si="6"/>
        <v>2021</v>
      </c>
      <c r="J201">
        <f t="shared" si="7"/>
        <v>26</v>
      </c>
    </row>
    <row r="202" spans="1:10" x14ac:dyDescent="0.2">
      <c r="A202" t="s">
        <v>244</v>
      </c>
      <c r="B202" t="s">
        <v>120</v>
      </c>
      <c r="C202" t="s">
        <v>121</v>
      </c>
      <c r="D202" t="s">
        <v>464</v>
      </c>
      <c r="E202" s="1">
        <v>44386</v>
      </c>
      <c r="F202">
        <v>5870</v>
      </c>
      <c r="G202" t="s">
        <v>242</v>
      </c>
      <c r="H202" t="s">
        <v>243</v>
      </c>
      <c r="I202">
        <f t="shared" si="6"/>
        <v>2021</v>
      </c>
      <c r="J202">
        <f t="shared" si="7"/>
        <v>27</v>
      </c>
    </row>
    <row r="203" spans="1:10" x14ac:dyDescent="0.2">
      <c r="A203" t="s">
        <v>284</v>
      </c>
      <c r="B203" t="s">
        <v>120</v>
      </c>
      <c r="C203" t="s">
        <v>121</v>
      </c>
      <c r="D203" t="s">
        <v>464</v>
      </c>
      <c r="E203" s="1">
        <v>44393</v>
      </c>
      <c r="F203">
        <v>5690</v>
      </c>
      <c r="G203" t="s">
        <v>242</v>
      </c>
      <c r="H203" t="s">
        <v>243</v>
      </c>
      <c r="I203">
        <f t="shared" si="6"/>
        <v>2021</v>
      </c>
      <c r="J203">
        <f t="shared" si="7"/>
        <v>28</v>
      </c>
    </row>
    <row r="204" spans="1:10" x14ac:dyDescent="0.2">
      <c r="A204" t="s">
        <v>257</v>
      </c>
      <c r="B204" t="s">
        <v>120</v>
      </c>
      <c r="C204" t="s">
        <v>121</v>
      </c>
      <c r="D204" t="s">
        <v>464</v>
      </c>
      <c r="E204" s="1">
        <v>44400</v>
      </c>
      <c r="F204">
        <v>6680</v>
      </c>
      <c r="G204" t="s">
        <v>242</v>
      </c>
      <c r="H204" t="s">
        <v>243</v>
      </c>
      <c r="I204">
        <f t="shared" si="6"/>
        <v>2021</v>
      </c>
      <c r="J204">
        <f t="shared" si="7"/>
        <v>29</v>
      </c>
    </row>
    <row r="205" spans="1:10" x14ac:dyDescent="0.2">
      <c r="A205" t="s">
        <v>338</v>
      </c>
      <c r="B205" t="s">
        <v>120</v>
      </c>
      <c r="C205" t="s">
        <v>121</v>
      </c>
      <c r="D205" t="s">
        <v>464</v>
      </c>
      <c r="E205" s="1">
        <v>44407</v>
      </c>
      <c r="F205">
        <v>6590</v>
      </c>
      <c r="G205" t="s">
        <v>242</v>
      </c>
      <c r="H205" t="s">
        <v>243</v>
      </c>
      <c r="I205">
        <f t="shared" si="6"/>
        <v>2021</v>
      </c>
      <c r="J205">
        <f t="shared" si="7"/>
        <v>30</v>
      </c>
    </row>
    <row r="206" spans="1:10" x14ac:dyDescent="0.2">
      <c r="A206" t="s">
        <v>291</v>
      </c>
      <c r="B206" t="s">
        <v>120</v>
      </c>
      <c r="C206" t="s">
        <v>121</v>
      </c>
      <c r="D206" t="s">
        <v>464</v>
      </c>
      <c r="E206" s="1">
        <v>44414</v>
      </c>
      <c r="F206">
        <v>5270</v>
      </c>
      <c r="G206" t="s">
        <v>242</v>
      </c>
      <c r="H206" t="s">
        <v>243</v>
      </c>
      <c r="I206">
        <f t="shared" si="6"/>
        <v>2021</v>
      </c>
      <c r="J206">
        <f t="shared" si="7"/>
        <v>31</v>
      </c>
    </row>
    <row r="207" spans="1:10" x14ac:dyDescent="0.2">
      <c r="A207" t="s">
        <v>282</v>
      </c>
      <c r="B207" t="s">
        <v>120</v>
      </c>
      <c r="C207" t="s">
        <v>121</v>
      </c>
      <c r="D207" t="s">
        <v>464</v>
      </c>
      <c r="E207" s="1">
        <v>44421</v>
      </c>
      <c r="F207">
        <v>6940</v>
      </c>
      <c r="G207" t="s">
        <v>242</v>
      </c>
      <c r="H207" t="s">
        <v>243</v>
      </c>
      <c r="I207">
        <f t="shared" si="6"/>
        <v>2021</v>
      </c>
      <c r="J207">
        <f t="shared" si="7"/>
        <v>32</v>
      </c>
    </row>
    <row r="208" spans="1:10" x14ac:dyDescent="0.2">
      <c r="A208" t="s">
        <v>254</v>
      </c>
      <c r="B208" t="s">
        <v>120</v>
      </c>
      <c r="C208" t="s">
        <v>121</v>
      </c>
      <c r="D208" t="s">
        <v>464</v>
      </c>
      <c r="E208" s="1">
        <v>44428</v>
      </c>
      <c r="F208">
        <v>5050</v>
      </c>
      <c r="G208" t="s">
        <v>242</v>
      </c>
      <c r="H208" t="s">
        <v>243</v>
      </c>
      <c r="I208">
        <f t="shared" si="6"/>
        <v>2021</v>
      </c>
      <c r="J208">
        <f t="shared" si="7"/>
        <v>33</v>
      </c>
    </row>
    <row r="209" spans="1:10" x14ac:dyDescent="0.2">
      <c r="A209" t="s">
        <v>254</v>
      </c>
      <c r="B209" t="s">
        <v>120</v>
      </c>
      <c r="C209" t="s">
        <v>121</v>
      </c>
      <c r="D209" t="s">
        <v>464</v>
      </c>
      <c r="E209" s="1">
        <v>44435</v>
      </c>
      <c r="F209">
        <v>6330</v>
      </c>
      <c r="G209" t="s">
        <v>242</v>
      </c>
      <c r="H209" t="s">
        <v>243</v>
      </c>
      <c r="I209">
        <f t="shared" si="6"/>
        <v>2021</v>
      </c>
      <c r="J209">
        <f t="shared" si="7"/>
        <v>34</v>
      </c>
    </row>
    <row r="210" spans="1:10" x14ac:dyDescent="0.2">
      <c r="A210" t="s">
        <v>267</v>
      </c>
      <c r="B210" t="s">
        <v>120</v>
      </c>
      <c r="C210" t="s">
        <v>121</v>
      </c>
      <c r="D210" t="s">
        <v>464</v>
      </c>
      <c r="E210" s="1">
        <v>44442</v>
      </c>
      <c r="F210">
        <v>5530</v>
      </c>
      <c r="G210" t="s">
        <v>242</v>
      </c>
      <c r="H210" t="s">
        <v>243</v>
      </c>
      <c r="I210">
        <f t="shared" si="6"/>
        <v>2021</v>
      </c>
      <c r="J210">
        <f t="shared" si="7"/>
        <v>35</v>
      </c>
    </row>
    <row r="211" spans="1:10" x14ac:dyDescent="0.2">
      <c r="A211" t="s">
        <v>252</v>
      </c>
      <c r="B211" t="s">
        <v>120</v>
      </c>
      <c r="C211" t="s">
        <v>121</v>
      </c>
      <c r="D211" t="s">
        <v>464</v>
      </c>
      <c r="E211" s="1">
        <v>44449</v>
      </c>
      <c r="F211">
        <v>5210</v>
      </c>
      <c r="G211" t="s">
        <v>242</v>
      </c>
      <c r="H211" t="s">
        <v>243</v>
      </c>
      <c r="I211">
        <f t="shared" si="6"/>
        <v>2021</v>
      </c>
      <c r="J211">
        <f t="shared" si="7"/>
        <v>36</v>
      </c>
    </row>
    <row r="212" spans="1:10" x14ac:dyDescent="0.2">
      <c r="A212" t="s">
        <v>308</v>
      </c>
      <c r="B212" t="s">
        <v>120</v>
      </c>
      <c r="C212" t="s">
        <v>121</v>
      </c>
      <c r="D212" t="s">
        <v>464</v>
      </c>
      <c r="E212" s="1">
        <v>44456</v>
      </c>
      <c r="F212">
        <v>6440</v>
      </c>
      <c r="G212" t="s">
        <v>242</v>
      </c>
      <c r="H212" t="s">
        <v>243</v>
      </c>
      <c r="I212">
        <f t="shared" si="6"/>
        <v>2021</v>
      </c>
      <c r="J212">
        <f t="shared" si="7"/>
        <v>37</v>
      </c>
    </row>
    <row r="213" spans="1:10" x14ac:dyDescent="0.2">
      <c r="A213" t="s">
        <v>279</v>
      </c>
      <c r="B213" t="s">
        <v>120</v>
      </c>
      <c r="C213" t="s">
        <v>121</v>
      </c>
      <c r="D213" t="s">
        <v>464</v>
      </c>
      <c r="E213" s="1">
        <v>44463</v>
      </c>
      <c r="F213">
        <v>6540</v>
      </c>
      <c r="G213" t="s">
        <v>242</v>
      </c>
      <c r="H213" t="s">
        <v>243</v>
      </c>
      <c r="I213">
        <f t="shared" si="6"/>
        <v>2021</v>
      </c>
      <c r="J213">
        <f t="shared" si="7"/>
        <v>38</v>
      </c>
    </row>
    <row r="214" spans="1:10" x14ac:dyDescent="0.2">
      <c r="A214" t="s">
        <v>323</v>
      </c>
      <c r="B214" t="s">
        <v>120</v>
      </c>
      <c r="C214" t="s">
        <v>121</v>
      </c>
      <c r="D214" t="s">
        <v>464</v>
      </c>
      <c r="E214" s="1">
        <v>44470</v>
      </c>
      <c r="F214">
        <v>5570</v>
      </c>
      <c r="G214" t="s">
        <v>242</v>
      </c>
      <c r="H214" t="s">
        <v>243</v>
      </c>
      <c r="I214">
        <f t="shared" si="6"/>
        <v>2021</v>
      </c>
      <c r="J214">
        <f t="shared" si="7"/>
        <v>39</v>
      </c>
    </row>
    <row r="215" spans="1:10" x14ac:dyDescent="0.2">
      <c r="A215" t="s">
        <v>289</v>
      </c>
      <c r="B215" t="s">
        <v>120</v>
      </c>
      <c r="C215" t="s">
        <v>121</v>
      </c>
      <c r="D215" t="s">
        <v>464</v>
      </c>
      <c r="E215" s="1">
        <v>44477</v>
      </c>
      <c r="F215">
        <v>5020</v>
      </c>
      <c r="G215" t="s">
        <v>242</v>
      </c>
      <c r="H215" t="s">
        <v>243</v>
      </c>
      <c r="I215">
        <f t="shared" si="6"/>
        <v>2021</v>
      </c>
      <c r="J215">
        <f t="shared" si="7"/>
        <v>40</v>
      </c>
    </row>
    <row r="216" spans="1:10" x14ac:dyDescent="0.2">
      <c r="A216" t="s">
        <v>332</v>
      </c>
      <c r="B216" t="s">
        <v>120</v>
      </c>
      <c r="C216" t="s">
        <v>121</v>
      </c>
      <c r="D216" t="s">
        <v>464</v>
      </c>
      <c r="E216" s="1">
        <v>44484</v>
      </c>
      <c r="F216">
        <v>5020</v>
      </c>
      <c r="G216" t="s">
        <v>242</v>
      </c>
      <c r="H216" t="s">
        <v>243</v>
      </c>
      <c r="I216">
        <f t="shared" si="6"/>
        <v>2021</v>
      </c>
      <c r="J216">
        <f t="shared" si="7"/>
        <v>41</v>
      </c>
    </row>
    <row r="217" spans="1:10" x14ac:dyDescent="0.2">
      <c r="A217" t="s">
        <v>324</v>
      </c>
      <c r="B217" t="s">
        <v>120</v>
      </c>
      <c r="C217" t="s">
        <v>121</v>
      </c>
      <c r="D217" t="s">
        <v>464</v>
      </c>
      <c r="E217" s="1">
        <v>44491</v>
      </c>
      <c r="F217">
        <v>6570</v>
      </c>
      <c r="G217" t="s">
        <v>242</v>
      </c>
      <c r="H217" t="s">
        <v>243</v>
      </c>
      <c r="I217">
        <f t="shared" si="6"/>
        <v>2021</v>
      </c>
      <c r="J217">
        <f t="shared" si="7"/>
        <v>42</v>
      </c>
    </row>
    <row r="218" spans="1:10" x14ac:dyDescent="0.2">
      <c r="A218" t="s">
        <v>303</v>
      </c>
      <c r="B218" t="s">
        <v>120</v>
      </c>
      <c r="C218" t="s">
        <v>121</v>
      </c>
      <c r="D218" t="s">
        <v>464</v>
      </c>
      <c r="E218" s="1">
        <v>44498</v>
      </c>
      <c r="F218">
        <v>6800</v>
      </c>
      <c r="G218" t="s">
        <v>242</v>
      </c>
      <c r="H218" t="s">
        <v>243</v>
      </c>
      <c r="I218">
        <f t="shared" si="6"/>
        <v>2021</v>
      </c>
      <c r="J218">
        <f t="shared" si="7"/>
        <v>43</v>
      </c>
    </row>
    <row r="219" spans="1:10" x14ac:dyDescent="0.2">
      <c r="A219" t="s">
        <v>251</v>
      </c>
      <c r="B219" t="s">
        <v>120</v>
      </c>
      <c r="C219" t="s">
        <v>121</v>
      </c>
      <c r="D219" t="s">
        <v>464</v>
      </c>
      <c r="E219" s="1">
        <v>44505</v>
      </c>
      <c r="F219">
        <v>6600</v>
      </c>
      <c r="G219" t="s">
        <v>242</v>
      </c>
      <c r="H219" t="s">
        <v>243</v>
      </c>
      <c r="I219">
        <f t="shared" si="6"/>
        <v>2021</v>
      </c>
      <c r="J219">
        <f t="shared" si="7"/>
        <v>44</v>
      </c>
    </row>
    <row r="220" spans="1:10" x14ac:dyDescent="0.2">
      <c r="A220" t="s">
        <v>299</v>
      </c>
      <c r="B220" t="s">
        <v>120</v>
      </c>
      <c r="C220" t="s">
        <v>121</v>
      </c>
      <c r="D220" t="s">
        <v>464</v>
      </c>
      <c r="E220" s="1">
        <v>44512</v>
      </c>
      <c r="F220">
        <v>6670</v>
      </c>
      <c r="G220" t="s">
        <v>242</v>
      </c>
      <c r="H220" t="s">
        <v>243</v>
      </c>
      <c r="I220">
        <f t="shared" si="6"/>
        <v>2021</v>
      </c>
      <c r="J220">
        <f t="shared" si="7"/>
        <v>45</v>
      </c>
    </row>
    <row r="221" spans="1:10" x14ac:dyDescent="0.2">
      <c r="A221" t="s">
        <v>264</v>
      </c>
      <c r="B221" t="s">
        <v>120</v>
      </c>
      <c r="C221" t="s">
        <v>121</v>
      </c>
      <c r="D221" t="s">
        <v>464</v>
      </c>
      <c r="E221" s="1">
        <v>44519</v>
      </c>
      <c r="F221">
        <v>5440</v>
      </c>
      <c r="G221" t="s">
        <v>242</v>
      </c>
      <c r="H221" t="s">
        <v>243</v>
      </c>
      <c r="I221">
        <f t="shared" si="6"/>
        <v>2021</v>
      </c>
      <c r="J221">
        <f t="shared" si="7"/>
        <v>46</v>
      </c>
    </row>
    <row r="222" spans="1:10" x14ac:dyDescent="0.2">
      <c r="A222" t="s">
        <v>273</v>
      </c>
      <c r="B222" t="s">
        <v>120</v>
      </c>
      <c r="C222" t="s">
        <v>121</v>
      </c>
      <c r="D222" t="s">
        <v>464</v>
      </c>
      <c r="E222" s="1">
        <v>44526</v>
      </c>
      <c r="F222">
        <v>6370</v>
      </c>
      <c r="G222" t="s">
        <v>242</v>
      </c>
      <c r="H222" t="s">
        <v>243</v>
      </c>
      <c r="I222">
        <f t="shared" si="6"/>
        <v>2021</v>
      </c>
      <c r="J222">
        <f t="shared" si="7"/>
        <v>47</v>
      </c>
    </row>
    <row r="223" spans="1:10" x14ac:dyDescent="0.2">
      <c r="A223" t="s">
        <v>329</v>
      </c>
      <c r="B223" t="s">
        <v>120</v>
      </c>
      <c r="C223" t="s">
        <v>121</v>
      </c>
      <c r="D223" t="s">
        <v>464</v>
      </c>
      <c r="E223" s="1">
        <v>44533</v>
      </c>
      <c r="F223">
        <v>6000</v>
      </c>
      <c r="G223" t="s">
        <v>242</v>
      </c>
      <c r="H223" t="s">
        <v>243</v>
      </c>
      <c r="I223">
        <f t="shared" si="6"/>
        <v>2021</v>
      </c>
      <c r="J223">
        <f t="shared" si="7"/>
        <v>48</v>
      </c>
    </row>
    <row r="224" spans="1:10" x14ac:dyDescent="0.2">
      <c r="A224" t="s">
        <v>283</v>
      </c>
      <c r="B224" t="s">
        <v>120</v>
      </c>
      <c r="C224" t="s">
        <v>121</v>
      </c>
      <c r="D224" t="s">
        <v>464</v>
      </c>
      <c r="E224" s="1">
        <v>44540</v>
      </c>
      <c r="F224">
        <v>6000</v>
      </c>
      <c r="G224" t="s">
        <v>242</v>
      </c>
      <c r="H224" t="s">
        <v>243</v>
      </c>
      <c r="I224">
        <f t="shared" si="6"/>
        <v>2021</v>
      </c>
      <c r="J224">
        <f t="shared" si="7"/>
        <v>49</v>
      </c>
    </row>
    <row r="225" spans="1:10" x14ac:dyDescent="0.2">
      <c r="A225" t="s">
        <v>294</v>
      </c>
      <c r="B225" t="s">
        <v>120</v>
      </c>
      <c r="C225" t="s">
        <v>121</v>
      </c>
      <c r="D225" t="s">
        <v>464</v>
      </c>
      <c r="E225" s="1">
        <v>44547</v>
      </c>
      <c r="F225">
        <v>5830</v>
      </c>
      <c r="G225" t="s">
        <v>242</v>
      </c>
      <c r="H225" t="s">
        <v>243</v>
      </c>
      <c r="I225">
        <f t="shared" si="6"/>
        <v>2021</v>
      </c>
      <c r="J225">
        <f t="shared" si="7"/>
        <v>50</v>
      </c>
    </row>
    <row r="226" spans="1:10" x14ac:dyDescent="0.2">
      <c r="A226" t="s">
        <v>268</v>
      </c>
      <c r="B226" t="s">
        <v>120</v>
      </c>
      <c r="C226" t="s">
        <v>121</v>
      </c>
      <c r="D226" t="s">
        <v>464</v>
      </c>
      <c r="E226" s="1">
        <v>44554</v>
      </c>
      <c r="F226">
        <v>6410</v>
      </c>
      <c r="G226" t="s">
        <v>242</v>
      </c>
      <c r="H226" t="s">
        <v>243</v>
      </c>
      <c r="I226">
        <f t="shared" si="6"/>
        <v>2021</v>
      </c>
      <c r="J226">
        <f t="shared" si="7"/>
        <v>51</v>
      </c>
    </row>
    <row r="227" spans="1:10" x14ac:dyDescent="0.2">
      <c r="A227" t="s">
        <v>310</v>
      </c>
      <c r="B227" t="s">
        <v>120</v>
      </c>
      <c r="C227" t="s">
        <v>121</v>
      </c>
      <c r="D227" t="s">
        <v>464</v>
      </c>
      <c r="E227" s="1">
        <v>44561</v>
      </c>
      <c r="F227">
        <v>6600</v>
      </c>
      <c r="G227" t="s">
        <v>242</v>
      </c>
      <c r="H227" t="s">
        <v>243</v>
      </c>
      <c r="I227">
        <f t="shared" si="6"/>
        <v>2021</v>
      </c>
      <c r="J227">
        <f t="shared" si="7"/>
        <v>52</v>
      </c>
    </row>
    <row r="228" spans="1:10" x14ac:dyDescent="0.2">
      <c r="A228" t="s">
        <v>301</v>
      </c>
      <c r="B228" t="s">
        <v>120</v>
      </c>
      <c r="C228" t="s">
        <v>121</v>
      </c>
      <c r="D228" t="s">
        <v>464</v>
      </c>
      <c r="E228" s="1">
        <v>44568</v>
      </c>
      <c r="F228">
        <v>6810</v>
      </c>
      <c r="G228" t="s">
        <v>242</v>
      </c>
      <c r="H228" t="s">
        <v>243</v>
      </c>
      <c r="I228">
        <f t="shared" si="6"/>
        <v>2022</v>
      </c>
      <c r="J228">
        <f t="shared" si="7"/>
        <v>1</v>
      </c>
    </row>
    <row r="229" spans="1:10" x14ac:dyDescent="0.2">
      <c r="A229" t="s">
        <v>275</v>
      </c>
      <c r="B229" t="s">
        <v>120</v>
      </c>
      <c r="C229" t="s">
        <v>121</v>
      </c>
      <c r="D229" t="s">
        <v>464</v>
      </c>
      <c r="E229" s="1">
        <v>44575</v>
      </c>
      <c r="F229">
        <v>5430</v>
      </c>
      <c r="G229" t="s">
        <v>242</v>
      </c>
      <c r="H229" t="s">
        <v>243</v>
      </c>
      <c r="I229">
        <f t="shared" si="6"/>
        <v>2022</v>
      </c>
      <c r="J229">
        <f t="shared" si="7"/>
        <v>2</v>
      </c>
    </row>
    <row r="230" spans="1:10" x14ac:dyDescent="0.2">
      <c r="A230" t="s">
        <v>286</v>
      </c>
      <c r="B230" t="s">
        <v>120</v>
      </c>
      <c r="C230" t="s">
        <v>121</v>
      </c>
      <c r="D230" t="s">
        <v>464</v>
      </c>
      <c r="E230" s="1">
        <v>44582</v>
      </c>
      <c r="F230">
        <v>5320</v>
      </c>
      <c r="G230" t="s">
        <v>242</v>
      </c>
      <c r="H230" t="s">
        <v>243</v>
      </c>
      <c r="I230">
        <f t="shared" si="6"/>
        <v>2022</v>
      </c>
      <c r="J230">
        <f t="shared" si="7"/>
        <v>3</v>
      </c>
    </row>
    <row r="231" spans="1:10" x14ac:dyDescent="0.2">
      <c r="A231" t="s">
        <v>266</v>
      </c>
      <c r="B231" t="s">
        <v>120</v>
      </c>
      <c r="C231" t="s">
        <v>121</v>
      </c>
      <c r="D231" t="s">
        <v>464</v>
      </c>
      <c r="E231" s="1">
        <v>44589</v>
      </c>
      <c r="F231">
        <v>6880</v>
      </c>
      <c r="G231" t="s">
        <v>242</v>
      </c>
      <c r="H231" t="s">
        <v>243</v>
      </c>
      <c r="I231">
        <f t="shared" si="6"/>
        <v>2022</v>
      </c>
      <c r="J231">
        <f t="shared" si="7"/>
        <v>4</v>
      </c>
    </row>
    <row r="232" spans="1:10" x14ac:dyDescent="0.2">
      <c r="A232" t="s">
        <v>266</v>
      </c>
      <c r="B232" t="s">
        <v>120</v>
      </c>
      <c r="C232" t="s">
        <v>121</v>
      </c>
      <c r="D232" t="s">
        <v>464</v>
      </c>
      <c r="E232" s="1">
        <v>44596</v>
      </c>
      <c r="F232">
        <v>6930</v>
      </c>
      <c r="G232" t="s">
        <v>242</v>
      </c>
      <c r="H232" t="s">
        <v>243</v>
      </c>
      <c r="I232">
        <f t="shared" si="6"/>
        <v>2022</v>
      </c>
      <c r="J232">
        <f t="shared" si="7"/>
        <v>5</v>
      </c>
    </row>
    <row r="233" spans="1:10" x14ac:dyDescent="0.2">
      <c r="A233" t="s">
        <v>287</v>
      </c>
      <c r="B233" t="s">
        <v>120</v>
      </c>
      <c r="C233" t="s">
        <v>121</v>
      </c>
      <c r="D233" t="s">
        <v>464</v>
      </c>
      <c r="E233" s="1">
        <v>44603</v>
      </c>
      <c r="F233">
        <v>6160</v>
      </c>
      <c r="G233" t="s">
        <v>242</v>
      </c>
      <c r="H233" t="s">
        <v>243</v>
      </c>
      <c r="I233">
        <f t="shared" si="6"/>
        <v>2022</v>
      </c>
      <c r="J233">
        <f t="shared" si="7"/>
        <v>6</v>
      </c>
    </row>
    <row r="234" spans="1:10" x14ac:dyDescent="0.2">
      <c r="A234" t="s">
        <v>278</v>
      </c>
      <c r="B234" t="s">
        <v>120</v>
      </c>
      <c r="C234" t="s">
        <v>121</v>
      </c>
      <c r="D234" t="s">
        <v>464</v>
      </c>
      <c r="E234" s="1">
        <v>44610</v>
      </c>
      <c r="F234">
        <v>6960</v>
      </c>
      <c r="G234" t="s">
        <v>242</v>
      </c>
      <c r="H234" t="s">
        <v>243</v>
      </c>
      <c r="I234">
        <f t="shared" si="6"/>
        <v>2022</v>
      </c>
      <c r="J234">
        <f t="shared" si="7"/>
        <v>7</v>
      </c>
    </row>
    <row r="235" spans="1:10" x14ac:dyDescent="0.2">
      <c r="A235" t="s">
        <v>330</v>
      </c>
      <c r="B235" t="s">
        <v>120</v>
      </c>
      <c r="C235" t="s">
        <v>121</v>
      </c>
      <c r="D235" t="s">
        <v>464</v>
      </c>
      <c r="E235" s="1">
        <v>44617</v>
      </c>
      <c r="F235">
        <v>5260</v>
      </c>
      <c r="G235" t="s">
        <v>242</v>
      </c>
      <c r="H235" t="s">
        <v>243</v>
      </c>
      <c r="I235">
        <f t="shared" si="6"/>
        <v>2022</v>
      </c>
      <c r="J235">
        <f t="shared" si="7"/>
        <v>8</v>
      </c>
    </row>
    <row r="236" spans="1:10" x14ac:dyDescent="0.2">
      <c r="A236" t="s">
        <v>272</v>
      </c>
      <c r="B236" t="s">
        <v>120</v>
      </c>
      <c r="C236" t="s">
        <v>121</v>
      </c>
      <c r="D236" t="s">
        <v>464</v>
      </c>
      <c r="E236" s="1">
        <v>44624</v>
      </c>
      <c r="F236">
        <v>6560</v>
      </c>
      <c r="G236" t="s">
        <v>242</v>
      </c>
      <c r="H236" t="s">
        <v>243</v>
      </c>
      <c r="I236">
        <f t="shared" si="6"/>
        <v>2022</v>
      </c>
      <c r="J236">
        <f t="shared" si="7"/>
        <v>9</v>
      </c>
    </row>
    <row r="237" spans="1:10" x14ac:dyDescent="0.2">
      <c r="A237" t="s">
        <v>316</v>
      </c>
      <c r="B237" t="s">
        <v>120</v>
      </c>
      <c r="C237" t="s">
        <v>121</v>
      </c>
      <c r="D237" t="s">
        <v>464</v>
      </c>
      <c r="E237" s="1">
        <v>44631</v>
      </c>
      <c r="F237">
        <v>6500</v>
      </c>
      <c r="G237" t="s">
        <v>242</v>
      </c>
      <c r="H237" t="s">
        <v>243</v>
      </c>
      <c r="I237">
        <f t="shared" si="6"/>
        <v>2022</v>
      </c>
      <c r="J237">
        <f t="shared" si="7"/>
        <v>10</v>
      </c>
    </row>
    <row r="238" spans="1:10" x14ac:dyDescent="0.2">
      <c r="A238" t="s">
        <v>316</v>
      </c>
      <c r="B238" t="s">
        <v>120</v>
      </c>
      <c r="C238" t="s">
        <v>121</v>
      </c>
      <c r="D238" t="s">
        <v>464</v>
      </c>
      <c r="E238" s="1">
        <v>44638</v>
      </c>
      <c r="F238">
        <v>6010</v>
      </c>
      <c r="G238" t="s">
        <v>242</v>
      </c>
      <c r="H238" t="s">
        <v>243</v>
      </c>
      <c r="I238">
        <f t="shared" si="6"/>
        <v>2022</v>
      </c>
      <c r="J238">
        <f t="shared" si="7"/>
        <v>11</v>
      </c>
    </row>
    <row r="239" spans="1:10" x14ac:dyDescent="0.2">
      <c r="A239" t="s">
        <v>260</v>
      </c>
      <c r="B239" t="s">
        <v>120</v>
      </c>
      <c r="C239" t="s">
        <v>121</v>
      </c>
      <c r="D239" t="s">
        <v>464</v>
      </c>
      <c r="E239" s="1">
        <v>44645</v>
      </c>
      <c r="F239">
        <v>5270</v>
      </c>
      <c r="G239" t="s">
        <v>242</v>
      </c>
      <c r="H239" t="s">
        <v>243</v>
      </c>
      <c r="I239">
        <f t="shared" si="6"/>
        <v>2022</v>
      </c>
      <c r="J239">
        <f t="shared" si="7"/>
        <v>12</v>
      </c>
    </row>
    <row r="240" spans="1:10" x14ac:dyDescent="0.2">
      <c r="A240" t="s">
        <v>327</v>
      </c>
      <c r="B240" t="s">
        <v>120</v>
      </c>
      <c r="C240" t="s">
        <v>121</v>
      </c>
      <c r="D240" t="s">
        <v>464</v>
      </c>
      <c r="E240" s="1">
        <v>44652</v>
      </c>
      <c r="F240">
        <v>5550</v>
      </c>
      <c r="G240" t="s">
        <v>242</v>
      </c>
      <c r="H240" t="s">
        <v>243</v>
      </c>
      <c r="I240">
        <f t="shared" si="6"/>
        <v>2022</v>
      </c>
      <c r="J240">
        <f t="shared" si="7"/>
        <v>13</v>
      </c>
    </row>
    <row r="241" spans="1:10" x14ac:dyDescent="0.2">
      <c r="A241" t="s">
        <v>247</v>
      </c>
      <c r="B241" t="s">
        <v>120</v>
      </c>
      <c r="C241" t="s">
        <v>121</v>
      </c>
      <c r="D241" t="s">
        <v>464</v>
      </c>
      <c r="E241" s="1">
        <v>44659</v>
      </c>
      <c r="F241">
        <v>6140</v>
      </c>
      <c r="G241" t="s">
        <v>242</v>
      </c>
      <c r="H241" t="s">
        <v>243</v>
      </c>
      <c r="I241">
        <f t="shared" si="6"/>
        <v>2022</v>
      </c>
      <c r="J241">
        <f t="shared" si="7"/>
        <v>14</v>
      </c>
    </row>
    <row r="242" spans="1:10" x14ac:dyDescent="0.2">
      <c r="A242" t="s">
        <v>321</v>
      </c>
      <c r="B242" t="s">
        <v>120</v>
      </c>
      <c r="C242" t="s">
        <v>121</v>
      </c>
      <c r="D242" t="s">
        <v>464</v>
      </c>
      <c r="E242" s="1">
        <v>44666</v>
      </c>
      <c r="F242">
        <v>5710</v>
      </c>
      <c r="G242" t="s">
        <v>242</v>
      </c>
      <c r="H242" t="s">
        <v>243</v>
      </c>
      <c r="I242">
        <f t="shared" si="6"/>
        <v>2022</v>
      </c>
      <c r="J242">
        <f t="shared" si="7"/>
        <v>15</v>
      </c>
    </row>
    <row r="243" spans="1:10" x14ac:dyDescent="0.2">
      <c r="A243" t="s">
        <v>304</v>
      </c>
      <c r="B243" t="s">
        <v>120</v>
      </c>
      <c r="C243" t="s">
        <v>121</v>
      </c>
      <c r="D243" t="s">
        <v>464</v>
      </c>
      <c r="E243" s="1">
        <v>44673</v>
      </c>
      <c r="F243">
        <v>5830</v>
      </c>
      <c r="G243" t="s">
        <v>242</v>
      </c>
      <c r="H243" t="s">
        <v>243</v>
      </c>
      <c r="I243">
        <f t="shared" si="6"/>
        <v>2022</v>
      </c>
      <c r="J243">
        <f t="shared" si="7"/>
        <v>16</v>
      </c>
    </row>
    <row r="244" spans="1:10" x14ac:dyDescent="0.2">
      <c r="A244" t="s">
        <v>290</v>
      </c>
      <c r="B244" t="s">
        <v>120</v>
      </c>
      <c r="C244" t="s">
        <v>121</v>
      </c>
      <c r="D244" t="s">
        <v>464</v>
      </c>
      <c r="E244" s="1">
        <v>44680</v>
      </c>
      <c r="F244">
        <v>5710</v>
      </c>
      <c r="G244" t="s">
        <v>242</v>
      </c>
      <c r="H244" t="s">
        <v>243</v>
      </c>
      <c r="I244">
        <f t="shared" si="6"/>
        <v>2022</v>
      </c>
      <c r="J244">
        <f t="shared" si="7"/>
        <v>17</v>
      </c>
    </row>
    <row r="245" spans="1:10" x14ac:dyDescent="0.2">
      <c r="A245" t="s">
        <v>293</v>
      </c>
      <c r="B245" t="s">
        <v>120</v>
      </c>
      <c r="C245" t="s">
        <v>121</v>
      </c>
      <c r="D245" t="s">
        <v>464</v>
      </c>
      <c r="E245" s="1">
        <v>44687</v>
      </c>
      <c r="F245">
        <v>5070</v>
      </c>
      <c r="G245" t="s">
        <v>242</v>
      </c>
      <c r="H245" t="s">
        <v>243</v>
      </c>
      <c r="I245">
        <f t="shared" si="6"/>
        <v>2022</v>
      </c>
      <c r="J245">
        <f t="shared" si="7"/>
        <v>18</v>
      </c>
    </row>
    <row r="246" spans="1:10" x14ac:dyDescent="0.2">
      <c r="A246" t="s">
        <v>325</v>
      </c>
      <c r="B246" t="s">
        <v>120</v>
      </c>
      <c r="C246" t="s">
        <v>121</v>
      </c>
      <c r="D246" t="s">
        <v>464</v>
      </c>
      <c r="E246" s="1">
        <v>44694</v>
      </c>
      <c r="F246">
        <v>6730</v>
      </c>
      <c r="G246" t="s">
        <v>242</v>
      </c>
      <c r="H246" t="s">
        <v>243</v>
      </c>
      <c r="I246">
        <f t="shared" si="6"/>
        <v>2022</v>
      </c>
      <c r="J246">
        <f t="shared" si="7"/>
        <v>19</v>
      </c>
    </row>
    <row r="247" spans="1:10" x14ac:dyDescent="0.2">
      <c r="A247" t="s">
        <v>309</v>
      </c>
      <c r="B247" t="s">
        <v>120</v>
      </c>
      <c r="C247" t="s">
        <v>121</v>
      </c>
      <c r="D247" t="s">
        <v>464</v>
      </c>
      <c r="E247" s="1">
        <v>44701</v>
      </c>
      <c r="F247">
        <v>6500</v>
      </c>
      <c r="G247" t="s">
        <v>242</v>
      </c>
      <c r="H247" t="s">
        <v>243</v>
      </c>
      <c r="I247">
        <f t="shared" si="6"/>
        <v>2022</v>
      </c>
      <c r="J247">
        <f t="shared" si="7"/>
        <v>20</v>
      </c>
    </row>
    <row r="248" spans="1:10" x14ac:dyDescent="0.2">
      <c r="A248" t="s">
        <v>317</v>
      </c>
      <c r="B248" t="s">
        <v>120</v>
      </c>
      <c r="C248" t="s">
        <v>121</v>
      </c>
      <c r="D248" t="s">
        <v>464</v>
      </c>
      <c r="E248" s="1">
        <v>44708</v>
      </c>
      <c r="F248">
        <v>6110</v>
      </c>
      <c r="G248" t="s">
        <v>242</v>
      </c>
      <c r="H248" t="s">
        <v>243</v>
      </c>
      <c r="I248">
        <f t="shared" si="6"/>
        <v>2022</v>
      </c>
      <c r="J248">
        <f t="shared" si="7"/>
        <v>21</v>
      </c>
    </row>
    <row r="249" spans="1:10" x14ac:dyDescent="0.2">
      <c r="A249" t="s">
        <v>261</v>
      </c>
      <c r="B249" t="s">
        <v>120</v>
      </c>
      <c r="C249" t="s">
        <v>121</v>
      </c>
      <c r="D249" t="s">
        <v>464</v>
      </c>
      <c r="E249" s="1">
        <v>44715</v>
      </c>
      <c r="F249">
        <v>6150</v>
      </c>
      <c r="G249" t="s">
        <v>242</v>
      </c>
      <c r="H249" t="s">
        <v>243</v>
      </c>
      <c r="I249">
        <f t="shared" si="6"/>
        <v>2022</v>
      </c>
      <c r="J249">
        <f t="shared" si="7"/>
        <v>22</v>
      </c>
    </row>
    <row r="250" spans="1:10" x14ac:dyDescent="0.2">
      <c r="A250" t="s">
        <v>276</v>
      </c>
      <c r="B250" t="s">
        <v>120</v>
      </c>
      <c r="C250" t="s">
        <v>121</v>
      </c>
      <c r="D250" t="s">
        <v>464</v>
      </c>
      <c r="E250" s="1">
        <v>44722</v>
      </c>
      <c r="F250">
        <v>5840</v>
      </c>
      <c r="G250" t="s">
        <v>242</v>
      </c>
      <c r="H250" t="s">
        <v>243</v>
      </c>
      <c r="I250">
        <f t="shared" si="6"/>
        <v>2022</v>
      </c>
      <c r="J250">
        <f t="shared" si="7"/>
        <v>23</v>
      </c>
    </row>
    <row r="251" spans="1:10" x14ac:dyDescent="0.2">
      <c r="A251" t="s">
        <v>322</v>
      </c>
      <c r="B251" t="s">
        <v>120</v>
      </c>
      <c r="C251" t="s">
        <v>121</v>
      </c>
      <c r="D251" t="s">
        <v>464</v>
      </c>
      <c r="E251" s="1">
        <v>44729</v>
      </c>
      <c r="F251">
        <v>6910</v>
      </c>
      <c r="G251" t="s">
        <v>242</v>
      </c>
      <c r="H251" t="s">
        <v>243</v>
      </c>
      <c r="I251">
        <f t="shared" si="6"/>
        <v>2022</v>
      </c>
      <c r="J251">
        <f t="shared" si="7"/>
        <v>24</v>
      </c>
    </row>
    <row r="252" spans="1:10" x14ac:dyDescent="0.2">
      <c r="A252" t="s">
        <v>328</v>
      </c>
      <c r="B252" t="s">
        <v>120</v>
      </c>
      <c r="C252" t="s">
        <v>121</v>
      </c>
      <c r="D252" t="s">
        <v>464</v>
      </c>
      <c r="E252" s="1">
        <v>44736</v>
      </c>
      <c r="F252">
        <v>6900</v>
      </c>
      <c r="G252" t="s">
        <v>242</v>
      </c>
      <c r="H252" t="s">
        <v>243</v>
      </c>
      <c r="I252">
        <f t="shared" si="6"/>
        <v>2022</v>
      </c>
      <c r="J252">
        <f t="shared" si="7"/>
        <v>25</v>
      </c>
    </row>
    <row r="253" spans="1:10" x14ac:dyDescent="0.2">
      <c r="A253" t="s">
        <v>300</v>
      </c>
      <c r="B253" t="s">
        <v>120</v>
      </c>
      <c r="C253" t="s">
        <v>121</v>
      </c>
      <c r="D253" t="s">
        <v>464</v>
      </c>
      <c r="E253" s="1">
        <v>44743</v>
      </c>
      <c r="F253">
        <v>6290</v>
      </c>
      <c r="G253" t="s">
        <v>242</v>
      </c>
      <c r="H253" t="s">
        <v>243</v>
      </c>
      <c r="I253">
        <f t="shared" ref="I253:I313" si="8">YEAR(E253)</f>
        <v>2022</v>
      </c>
      <c r="J253">
        <f t="shared" ref="J253:J313" si="9">_xlfn.ISOWEEKNUM(E253)</f>
        <v>26</v>
      </c>
    </row>
    <row r="254" spans="1:10" x14ac:dyDescent="0.2">
      <c r="A254" t="s">
        <v>274</v>
      </c>
      <c r="B254" t="s">
        <v>120</v>
      </c>
      <c r="C254" t="s">
        <v>121</v>
      </c>
      <c r="D254" t="s">
        <v>464</v>
      </c>
      <c r="E254" s="1">
        <v>44750</v>
      </c>
      <c r="F254">
        <v>6420</v>
      </c>
      <c r="G254" t="s">
        <v>242</v>
      </c>
      <c r="H254" t="s">
        <v>243</v>
      </c>
      <c r="I254">
        <f t="shared" si="8"/>
        <v>2022</v>
      </c>
      <c r="J254">
        <f t="shared" si="9"/>
        <v>27</v>
      </c>
    </row>
    <row r="255" spans="1:10" x14ac:dyDescent="0.2">
      <c r="A255" t="s">
        <v>256</v>
      </c>
      <c r="B255" t="s">
        <v>120</v>
      </c>
      <c r="C255" t="s">
        <v>121</v>
      </c>
      <c r="D255" t="s">
        <v>464</v>
      </c>
      <c r="E255" s="1">
        <v>44757</v>
      </c>
      <c r="F255">
        <v>5720</v>
      </c>
      <c r="G255" t="s">
        <v>242</v>
      </c>
      <c r="H255" t="s">
        <v>243</v>
      </c>
      <c r="I255">
        <f t="shared" si="8"/>
        <v>2022</v>
      </c>
      <c r="J255">
        <f t="shared" si="9"/>
        <v>28</v>
      </c>
    </row>
    <row r="256" spans="1:10" x14ac:dyDescent="0.2">
      <c r="A256" t="s">
        <v>292</v>
      </c>
      <c r="B256" t="s">
        <v>120</v>
      </c>
      <c r="C256" t="s">
        <v>121</v>
      </c>
      <c r="D256" t="s">
        <v>464</v>
      </c>
      <c r="E256" s="1">
        <v>44764</v>
      </c>
      <c r="F256">
        <v>6860</v>
      </c>
      <c r="G256" t="s">
        <v>242</v>
      </c>
      <c r="H256" t="s">
        <v>243</v>
      </c>
      <c r="I256">
        <f t="shared" si="8"/>
        <v>2022</v>
      </c>
      <c r="J256">
        <f t="shared" si="9"/>
        <v>29</v>
      </c>
    </row>
    <row r="257" spans="1:10" x14ac:dyDescent="0.2">
      <c r="A257" t="s">
        <v>277</v>
      </c>
      <c r="B257" t="s">
        <v>120</v>
      </c>
      <c r="C257" t="s">
        <v>121</v>
      </c>
      <c r="D257" t="s">
        <v>464</v>
      </c>
      <c r="E257" s="1">
        <v>44771</v>
      </c>
      <c r="F257">
        <v>5880</v>
      </c>
      <c r="G257" t="s">
        <v>242</v>
      </c>
      <c r="H257" t="s">
        <v>243</v>
      </c>
      <c r="I257">
        <f t="shared" si="8"/>
        <v>2022</v>
      </c>
      <c r="J257">
        <f t="shared" si="9"/>
        <v>30</v>
      </c>
    </row>
    <row r="258" spans="1:10" x14ac:dyDescent="0.2">
      <c r="A258" t="s">
        <v>295</v>
      </c>
      <c r="B258" t="s">
        <v>120</v>
      </c>
      <c r="C258" t="s">
        <v>121</v>
      </c>
      <c r="D258" t="s">
        <v>464</v>
      </c>
      <c r="E258" s="1">
        <v>44778</v>
      </c>
      <c r="F258">
        <v>6270</v>
      </c>
      <c r="G258" t="s">
        <v>242</v>
      </c>
      <c r="H258" t="s">
        <v>243</v>
      </c>
      <c r="I258">
        <f t="shared" si="8"/>
        <v>2022</v>
      </c>
      <c r="J258">
        <f t="shared" si="9"/>
        <v>31</v>
      </c>
    </row>
    <row r="259" spans="1:10" x14ac:dyDescent="0.2">
      <c r="A259" t="s">
        <v>313</v>
      </c>
      <c r="B259" t="s">
        <v>120</v>
      </c>
      <c r="C259" t="s">
        <v>121</v>
      </c>
      <c r="D259" t="s">
        <v>464</v>
      </c>
      <c r="E259" s="1">
        <v>44785</v>
      </c>
      <c r="F259">
        <v>6590</v>
      </c>
      <c r="G259" t="s">
        <v>242</v>
      </c>
      <c r="H259" t="s">
        <v>243</v>
      </c>
      <c r="I259">
        <f t="shared" si="8"/>
        <v>2022</v>
      </c>
      <c r="J259">
        <f t="shared" si="9"/>
        <v>32</v>
      </c>
    </row>
    <row r="260" spans="1:10" x14ac:dyDescent="0.2">
      <c r="A260" t="s">
        <v>336</v>
      </c>
      <c r="B260" t="s">
        <v>120</v>
      </c>
      <c r="C260" t="s">
        <v>121</v>
      </c>
      <c r="D260" t="s">
        <v>464</v>
      </c>
      <c r="E260" s="1">
        <v>44792</v>
      </c>
      <c r="F260">
        <v>5400</v>
      </c>
      <c r="G260" t="s">
        <v>242</v>
      </c>
      <c r="H260" t="s">
        <v>243</v>
      </c>
      <c r="I260">
        <f t="shared" si="8"/>
        <v>2022</v>
      </c>
      <c r="J260">
        <f t="shared" si="9"/>
        <v>33</v>
      </c>
    </row>
    <row r="261" spans="1:10" x14ac:dyDescent="0.2">
      <c r="A261" t="s">
        <v>319</v>
      </c>
      <c r="B261" t="s">
        <v>120</v>
      </c>
      <c r="C261" t="s">
        <v>121</v>
      </c>
      <c r="D261" t="s">
        <v>464</v>
      </c>
      <c r="E261" s="1">
        <v>44799</v>
      </c>
      <c r="F261">
        <v>5990</v>
      </c>
      <c r="G261" t="s">
        <v>242</v>
      </c>
      <c r="H261" t="s">
        <v>243</v>
      </c>
      <c r="I261">
        <f t="shared" si="8"/>
        <v>2022</v>
      </c>
      <c r="J261">
        <f t="shared" si="9"/>
        <v>34</v>
      </c>
    </row>
    <row r="262" spans="1:10" x14ac:dyDescent="0.2">
      <c r="A262" t="s">
        <v>270</v>
      </c>
      <c r="B262" t="s">
        <v>120</v>
      </c>
      <c r="C262" t="s">
        <v>121</v>
      </c>
      <c r="D262" t="s">
        <v>464</v>
      </c>
      <c r="E262" s="1">
        <v>44806</v>
      </c>
      <c r="F262">
        <v>5580</v>
      </c>
      <c r="G262" t="s">
        <v>242</v>
      </c>
      <c r="H262" t="s">
        <v>243</v>
      </c>
      <c r="I262">
        <f t="shared" si="8"/>
        <v>2022</v>
      </c>
      <c r="J262">
        <f t="shared" si="9"/>
        <v>35</v>
      </c>
    </row>
    <row r="263" spans="1:10" x14ac:dyDescent="0.2">
      <c r="A263" t="s">
        <v>337</v>
      </c>
      <c r="B263" t="s">
        <v>120</v>
      </c>
      <c r="C263" t="s">
        <v>121</v>
      </c>
      <c r="D263" t="s">
        <v>464</v>
      </c>
      <c r="E263" s="1">
        <v>44813</v>
      </c>
      <c r="F263">
        <v>5810</v>
      </c>
      <c r="G263" t="s">
        <v>242</v>
      </c>
      <c r="H263" t="s">
        <v>243</v>
      </c>
      <c r="I263">
        <f t="shared" si="8"/>
        <v>2022</v>
      </c>
      <c r="J263">
        <f t="shared" si="9"/>
        <v>36</v>
      </c>
    </row>
    <row r="264" spans="1:10" x14ac:dyDescent="0.2">
      <c r="A264" t="s">
        <v>335</v>
      </c>
      <c r="B264" t="s">
        <v>120</v>
      </c>
      <c r="C264" t="s">
        <v>121</v>
      </c>
      <c r="D264" t="s">
        <v>464</v>
      </c>
      <c r="E264" s="1">
        <v>44820</v>
      </c>
      <c r="F264">
        <v>6220</v>
      </c>
      <c r="G264" t="s">
        <v>242</v>
      </c>
      <c r="H264" t="s">
        <v>243</v>
      </c>
      <c r="I264">
        <f t="shared" si="8"/>
        <v>2022</v>
      </c>
      <c r="J264">
        <f t="shared" si="9"/>
        <v>37</v>
      </c>
    </row>
    <row r="265" spans="1:10" x14ac:dyDescent="0.2">
      <c r="A265" t="s">
        <v>253</v>
      </c>
      <c r="B265" t="s">
        <v>120</v>
      </c>
      <c r="C265" t="s">
        <v>121</v>
      </c>
      <c r="D265" t="s">
        <v>464</v>
      </c>
      <c r="E265" s="1">
        <v>44827</v>
      </c>
      <c r="F265">
        <v>6080</v>
      </c>
      <c r="G265" t="s">
        <v>242</v>
      </c>
      <c r="H265" t="s">
        <v>243</v>
      </c>
      <c r="I265">
        <f t="shared" si="8"/>
        <v>2022</v>
      </c>
      <c r="J265">
        <f t="shared" si="9"/>
        <v>38</v>
      </c>
    </row>
    <row r="266" spans="1:10" x14ac:dyDescent="0.2">
      <c r="A266" t="s">
        <v>281</v>
      </c>
      <c r="B266" t="s">
        <v>120</v>
      </c>
      <c r="C266" t="s">
        <v>121</v>
      </c>
      <c r="D266" t="s">
        <v>464</v>
      </c>
      <c r="E266" s="1">
        <v>44834</v>
      </c>
      <c r="F266">
        <v>6830</v>
      </c>
      <c r="G266" t="s">
        <v>242</v>
      </c>
      <c r="H266" t="s">
        <v>243</v>
      </c>
      <c r="I266">
        <f t="shared" si="8"/>
        <v>2022</v>
      </c>
      <c r="J266">
        <f t="shared" si="9"/>
        <v>39</v>
      </c>
    </row>
    <row r="267" spans="1:10" x14ac:dyDescent="0.2">
      <c r="A267" t="s">
        <v>265</v>
      </c>
      <c r="B267" t="s">
        <v>120</v>
      </c>
      <c r="C267" t="s">
        <v>121</v>
      </c>
      <c r="D267" t="s">
        <v>464</v>
      </c>
      <c r="E267" s="1">
        <v>44841</v>
      </c>
      <c r="F267">
        <v>5740</v>
      </c>
      <c r="G267" t="s">
        <v>242</v>
      </c>
      <c r="H267" t="s">
        <v>243</v>
      </c>
      <c r="I267">
        <f t="shared" si="8"/>
        <v>2022</v>
      </c>
      <c r="J267">
        <f t="shared" si="9"/>
        <v>40</v>
      </c>
    </row>
    <row r="268" spans="1:10" x14ac:dyDescent="0.2">
      <c r="A268" t="s">
        <v>314</v>
      </c>
      <c r="B268" t="s">
        <v>120</v>
      </c>
      <c r="C268" t="s">
        <v>121</v>
      </c>
      <c r="D268" t="s">
        <v>464</v>
      </c>
      <c r="E268" s="1">
        <v>44848</v>
      </c>
      <c r="F268">
        <v>6720</v>
      </c>
      <c r="G268" t="s">
        <v>242</v>
      </c>
      <c r="H268" t="s">
        <v>243</v>
      </c>
      <c r="I268">
        <f t="shared" si="8"/>
        <v>2022</v>
      </c>
      <c r="J268">
        <f t="shared" si="9"/>
        <v>41</v>
      </c>
    </row>
    <row r="269" spans="1:10" x14ac:dyDescent="0.2">
      <c r="A269" t="s">
        <v>334</v>
      </c>
      <c r="B269" t="s">
        <v>120</v>
      </c>
      <c r="C269" t="s">
        <v>121</v>
      </c>
      <c r="D269" t="s">
        <v>464</v>
      </c>
      <c r="E269" s="1">
        <v>44855</v>
      </c>
      <c r="F269">
        <v>5470</v>
      </c>
      <c r="G269" t="s">
        <v>242</v>
      </c>
      <c r="H269" t="s">
        <v>243</v>
      </c>
      <c r="I269">
        <f t="shared" si="8"/>
        <v>2022</v>
      </c>
      <c r="J269">
        <f t="shared" si="9"/>
        <v>42</v>
      </c>
    </row>
    <row r="270" spans="1:10" x14ac:dyDescent="0.2">
      <c r="A270" t="s">
        <v>245</v>
      </c>
      <c r="B270" t="s">
        <v>120</v>
      </c>
      <c r="C270" t="s">
        <v>121</v>
      </c>
      <c r="D270" t="s">
        <v>464</v>
      </c>
      <c r="E270" s="1">
        <v>44862</v>
      </c>
      <c r="F270">
        <v>5510</v>
      </c>
      <c r="G270" t="s">
        <v>242</v>
      </c>
      <c r="H270" t="s">
        <v>243</v>
      </c>
      <c r="I270">
        <f t="shared" si="8"/>
        <v>2022</v>
      </c>
      <c r="J270">
        <f t="shared" si="9"/>
        <v>43</v>
      </c>
    </row>
    <row r="271" spans="1:10" x14ac:dyDescent="0.2">
      <c r="A271" t="s">
        <v>271</v>
      </c>
      <c r="B271" t="s">
        <v>120</v>
      </c>
      <c r="C271" t="s">
        <v>121</v>
      </c>
      <c r="D271" t="s">
        <v>464</v>
      </c>
      <c r="E271" s="1">
        <v>44869</v>
      </c>
      <c r="F271">
        <v>5920</v>
      </c>
      <c r="G271" t="s">
        <v>242</v>
      </c>
      <c r="H271" t="s">
        <v>243</v>
      </c>
      <c r="I271">
        <f t="shared" si="8"/>
        <v>2022</v>
      </c>
      <c r="J271">
        <f t="shared" si="9"/>
        <v>44</v>
      </c>
    </row>
    <row r="272" spans="1:10" x14ac:dyDescent="0.2">
      <c r="A272" t="s">
        <v>296</v>
      </c>
      <c r="B272" t="s">
        <v>120</v>
      </c>
      <c r="C272" t="s">
        <v>121</v>
      </c>
      <c r="D272" t="s">
        <v>464</v>
      </c>
      <c r="E272" s="1">
        <v>44876</v>
      </c>
      <c r="F272">
        <v>6470</v>
      </c>
      <c r="G272" t="s">
        <v>242</v>
      </c>
      <c r="H272" t="s">
        <v>243</v>
      </c>
      <c r="I272">
        <f t="shared" si="8"/>
        <v>2022</v>
      </c>
      <c r="J272">
        <f t="shared" si="9"/>
        <v>45</v>
      </c>
    </row>
    <row r="273" spans="1:10" x14ac:dyDescent="0.2">
      <c r="A273" t="s">
        <v>307</v>
      </c>
      <c r="B273" t="s">
        <v>120</v>
      </c>
      <c r="C273" t="s">
        <v>121</v>
      </c>
      <c r="D273" t="s">
        <v>464</v>
      </c>
      <c r="E273" s="1">
        <v>44883</v>
      </c>
      <c r="F273">
        <v>6950</v>
      </c>
      <c r="G273" t="s">
        <v>242</v>
      </c>
      <c r="H273" t="s">
        <v>243</v>
      </c>
      <c r="I273">
        <f t="shared" si="8"/>
        <v>2022</v>
      </c>
      <c r="J273">
        <f t="shared" si="9"/>
        <v>46</v>
      </c>
    </row>
    <row r="274" spans="1:10" x14ac:dyDescent="0.2">
      <c r="A274" t="s">
        <v>320</v>
      </c>
      <c r="B274" t="s">
        <v>120</v>
      </c>
      <c r="C274" t="s">
        <v>121</v>
      </c>
      <c r="D274" t="s">
        <v>464</v>
      </c>
      <c r="E274" s="1">
        <v>44890</v>
      </c>
      <c r="F274">
        <v>6840</v>
      </c>
      <c r="G274" t="s">
        <v>242</v>
      </c>
      <c r="H274" t="s">
        <v>243</v>
      </c>
      <c r="I274">
        <f t="shared" si="8"/>
        <v>2022</v>
      </c>
      <c r="J274">
        <f t="shared" si="9"/>
        <v>47</v>
      </c>
    </row>
    <row r="275" spans="1:10" x14ac:dyDescent="0.2">
      <c r="A275" t="s">
        <v>269</v>
      </c>
      <c r="B275" t="s">
        <v>120</v>
      </c>
      <c r="C275" t="s">
        <v>121</v>
      </c>
      <c r="D275" t="s">
        <v>464</v>
      </c>
      <c r="E275" s="1">
        <v>44897</v>
      </c>
      <c r="F275">
        <v>5320</v>
      </c>
      <c r="G275" t="s">
        <v>242</v>
      </c>
      <c r="H275" t="s">
        <v>243</v>
      </c>
      <c r="I275">
        <f t="shared" si="8"/>
        <v>2022</v>
      </c>
      <c r="J275">
        <f t="shared" si="9"/>
        <v>48</v>
      </c>
    </row>
    <row r="276" spans="1:10" x14ac:dyDescent="0.2">
      <c r="A276" t="s">
        <v>288</v>
      </c>
      <c r="B276" t="s">
        <v>120</v>
      </c>
      <c r="C276" t="s">
        <v>121</v>
      </c>
      <c r="D276" t="s">
        <v>464</v>
      </c>
      <c r="E276" s="1">
        <v>44904</v>
      </c>
      <c r="F276">
        <v>5670</v>
      </c>
      <c r="G276" t="s">
        <v>242</v>
      </c>
      <c r="H276" t="s">
        <v>243</v>
      </c>
      <c r="I276">
        <f t="shared" si="8"/>
        <v>2022</v>
      </c>
      <c r="J276">
        <f t="shared" si="9"/>
        <v>49</v>
      </c>
    </row>
    <row r="277" spans="1:10" x14ac:dyDescent="0.2">
      <c r="A277" t="s">
        <v>255</v>
      </c>
      <c r="B277" t="s">
        <v>120</v>
      </c>
      <c r="C277" t="s">
        <v>121</v>
      </c>
      <c r="D277" t="s">
        <v>464</v>
      </c>
      <c r="E277" s="1">
        <v>44911</v>
      </c>
      <c r="F277">
        <v>6070</v>
      </c>
      <c r="G277" t="s">
        <v>242</v>
      </c>
      <c r="H277" t="s">
        <v>243</v>
      </c>
      <c r="I277">
        <f t="shared" si="8"/>
        <v>2022</v>
      </c>
      <c r="J277">
        <f t="shared" si="9"/>
        <v>50</v>
      </c>
    </row>
    <row r="278" spans="1:10" x14ac:dyDescent="0.2">
      <c r="A278" t="s">
        <v>306</v>
      </c>
      <c r="B278" t="s">
        <v>120</v>
      </c>
      <c r="C278" t="s">
        <v>121</v>
      </c>
      <c r="D278" t="s">
        <v>464</v>
      </c>
      <c r="E278" s="1">
        <v>44918</v>
      </c>
      <c r="F278">
        <v>5050</v>
      </c>
      <c r="G278" t="s">
        <v>242</v>
      </c>
      <c r="H278" t="s">
        <v>243</v>
      </c>
      <c r="I278">
        <f t="shared" si="8"/>
        <v>2022</v>
      </c>
      <c r="J278">
        <f t="shared" si="9"/>
        <v>51</v>
      </c>
    </row>
    <row r="279" spans="1:10" x14ac:dyDescent="0.2">
      <c r="A279" t="s">
        <v>297</v>
      </c>
      <c r="B279" t="s">
        <v>120</v>
      </c>
      <c r="C279" t="s">
        <v>121</v>
      </c>
      <c r="D279" t="s">
        <v>464</v>
      </c>
      <c r="E279" s="1">
        <v>44925</v>
      </c>
      <c r="F279">
        <v>5800</v>
      </c>
      <c r="G279" t="s">
        <v>242</v>
      </c>
      <c r="H279" t="s">
        <v>243</v>
      </c>
      <c r="I279">
        <f t="shared" si="8"/>
        <v>2022</v>
      </c>
      <c r="J279">
        <f t="shared" si="9"/>
        <v>52</v>
      </c>
    </row>
    <row r="280" spans="1:10" x14ac:dyDescent="0.2">
      <c r="A280" t="s">
        <v>312</v>
      </c>
      <c r="B280" t="s">
        <v>120</v>
      </c>
      <c r="C280" t="s">
        <v>121</v>
      </c>
      <c r="D280" t="s">
        <v>464</v>
      </c>
      <c r="E280" s="1">
        <v>44932</v>
      </c>
      <c r="F280">
        <v>6310</v>
      </c>
      <c r="G280" t="s">
        <v>242</v>
      </c>
      <c r="H280" t="s">
        <v>243</v>
      </c>
      <c r="I280">
        <f t="shared" si="8"/>
        <v>2023</v>
      </c>
      <c r="J280">
        <f t="shared" si="9"/>
        <v>1</v>
      </c>
    </row>
    <row r="281" spans="1:10" x14ac:dyDescent="0.2">
      <c r="A281" t="s">
        <v>285</v>
      </c>
      <c r="B281" t="s">
        <v>120</v>
      </c>
      <c r="C281" t="s">
        <v>121</v>
      </c>
      <c r="D281" t="s">
        <v>464</v>
      </c>
      <c r="E281" s="1">
        <v>44939</v>
      </c>
      <c r="F281">
        <v>5010</v>
      </c>
      <c r="G281" t="s">
        <v>242</v>
      </c>
      <c r="H281" t="s">
        <v>243</v>
      </c>
      <c r="I281">
        <f t="shared" si="8"/>
        <v>2023</v>
      </c>
      <c r="J281">
        <f t="shared" si="9"/>
        <v>2</v>
      </c>
    </row>
    <row r="282" spans="1:10" x14ac:dyDescent="0.2">
      <c r="A282" t="s">
        <v>258</v>
      </c>
      <c r="B282" t="s">
        <v>120</v>
      </c>
      <c r="C282" t="s">
        <v>121</v>
      </c>
      <c r="D282" t="s">
        <v>464</v>
      </c>
      <c r="E282" s="1">
        <v>44946</v>
      </c>
      <c r="F282">
        <v>6190</v>
      </c>
      <c r="G282" t="s">
        <v>242</v>
      </c>
      <c r="H282" t="s">
        <v>243</v>
      </c>
      <c r="I282">
        <f t="shared" si="8"/>
        <v>2023</v>
      </c>
      <c r="J282">
        <f t="shared" si="9"/>
        <v>3</v>
      </c>
    </row>
    <row r="283" spans="1:10" x14ac:dyDescent="0.2">
      <c r="A283" t="s">
        <v>333</v>
      </c>
      <c r="B283" t="s">
        <v>120</v>
      </c>
      <c r="C283" t="s">
        <v>121</v>
      </c>
      <c r="D283" t="s">
        <v>464</v>
      </c>
      <c r="E283" s="1">
        <v>44953</v>
      </c>
      <c r="F283">
        <v>6720</v>
      </c>
      <c r="G283" t="s">
        <v>242</v>
      </c>
      <c r="H283" t="s">
        <v>243</v>
      </c>
      <c r="I283">
        <f t="shared" si="8"/>
        <v>2023</v>
      </c>
      <c r="J283">
        <f t="shared" si="9"/>
        <v>4</v>
      </c>
    </row>
    <row r="284" spans="1:10" x14ac:dyDescent="0.2">
      <c r="A284" t="s">
        <v>262</v>
      </c>
      <c r="B284" t="s">
        <v>120</v>
      </c>
      <c r="C284" t="s">
        <v>121</v>
      </c>
      <c r="D284" t="s">
        <v>464</v>
      </c>
      <c r="E284" s="1">
        <v>44960</v>
      </c>
      <c r="F284">
        <v>5050</v>
      </c>
      <c r="G284" t="s">
        <v>242</v>
      </c>
      <c r="H284" t="s">
        <v>243</v>
      </c>
      <c r="I284">
        <f t="shared" si="8"/>
        <v>2023</v>
      </c>
      <c r="J284">
        <f t="shared" si="9"/>
        <v>5</v>
      </c>
    </row>
    <row r="285" spans="1:10" x14ac:dyDescent="0.2">
      <c r="A285" t="s">
        <v>249</v>
      </c>
      <c r="B285" t="s">
        <v>120</v>
      </c>
      <c r="C285" t="s">
        <v>121</v>
      </c>
      <c r="D285" t="s">
        <v>464</v>
      </c>
      <c r="E285" s="1">
        <v>44967</v>
      </c>
      <c r="F285">
        <v>5710</v>
      </c>
      <c r="G285" t="s">
        <v>242</v>
      </c>
      <c r="H285" t="s">
        <v>243</v>
      </c>
      <c r="I285">
        <f t="shared" si="8"/>
        <v>2023</v>
      </c>
      <c r="J285">
        <f t="shared" si="9"/>
        <v>6</v>
      </c>
    </row>
    <row r="286" spans="1:10" x14ac:dyDescent="0.2">
      <c r="A286" t="s">
        <v>326</v>
      </c>
      <c r="B286" t="s">
        <v>120</v>
      </c>
      <c r="C286" t="s">
        <v>121</v>
      </c>
      <c r="D286" t="s">
        <v>464</v>
      </c>
      <c r="E286" s="1">
        <v>44974</v>
      </c>
      <c r="F286">
        <v>6350</v>
      </c>
      <c r="G286" t="s">
        <v>242</v>
      </c>
      <c r="H286" t="s">
        <v>243</v>
      </c>
      <c r="I286">
        <f t="shared" si="8"/>
        <v>2023</v>
      </c>
      <c r="J286">
        <f t="shared" si="9"/>
        <v>7</v>
      </c>
    </row>
    <row r="287" spans="1:10" x14ac:dyDescent="0.2">
      <c r="A287" t="s">
        <v>305</v>
      </c>
      <c r="B287" t="s">
        <v>120</v>
      </c>
      <c r="C287" t="s">
        <v>121</v>
      </c>
      <c r="D287" t="s">
        <v>464</v>
      </c>
      <c r="E287" s="1">
        <v>44981</v>
      </c>
      <c r="F287">
        <v>5100</v>
      </c>
      <c r="G287" t="s">
        <v>242</v>
      </c>
      <c r="H287" t="s">
        <v>243</v>
      </c>
      <c r="I287">
        <f t="shared" si="8"/>
        <v>2023</v>
      </c>
      <c r="J287">
        <f t="shared" si="9"/>
        <v>8</v>
      </c>
    </row>
    <row r="288" spans="1:10" x14ac:dyDescent="0.2">
      <c r="A288" t="s">
        <v>315</v>
      </c>
      <c r="B288" t="s">
        <v>120</v>
      </c>
      <c r="C288" t="s">
        <v>121</v>
      </c>
      <c r="D288" t="s">
        <v>464</v>
      </c>
      <c r="E288" s="1">
        <v>44988</v>
      </c>
      <c r="F288">
        <v>5030</v>
      </c>
      <c r="G288" t="s">
        <v>242</v>
      </c>
      <c r="H288" t="s">
        <v>243</v>
      </c>
      <c r="I288">
        <f t="shared" si="8"/>
        <v>2023</v>
      </c>
      <c r="J288">
        <f t="shared" si="9"/>
        <v>9</v>
      </c>
    </row>
    <row r="289" spans="1:10" x14ac:dyDescent="0.2">
      <c r="A289" t="s">
        <v>248</v>
      </c>
      <c r="B289" t="s">
        <v>120</v>
      </c>
      <c r="C289" t="s">
        <v>121</v>
      </c>
      <c r="D289" t="s">
        <v>464</v>
      </c>
      <c r="E289" s="1">
        <v>44995</v>
      </c>
      <c r="F289">
        <v>6520</v>
      </c>
      <c r="G289" t="s">
        <v>242</v>
      </c>
      <c r="H289" t="s">
        <v>243</v>
      </c>
      <c r="I289">
        <f t="shared" si="8"/>
        <v>2023</v>
      </c>
      <c r="J289">
        <f t="shared" si="9"/>
        <v>10</v>
      </c>
    </row>
    <row r="290" spans="1:10" x14ac:dyDescent="0.2">
      <c r="A290" t="s">
        <v>302</v>
      </c>
      <c r="B290" t="s">
        <v>120</v>
      </c>
      <c r="C290" t="s">
        <v>121</v>
      </c>
      <c r="D290" t="s">
        <v>464</v>
      </c>
      <c r="E290" s="1">
        <v>45002</v>
      </c>
      <c r="F290">
        <v>6210</v>
      </c>
      <c r="G290" t="s">
        <v>242</v>
      </c>
      <c r="H290" t="s">
        <v>243</v>
      </c>
      <c r="I290">
        <f t="shared" si="8"/>
        <v>2023</v>
      </c>
      <c r="J290">
        <f t="shared" si="9"/>
        <v>11</v>
      </c>
    </row>
    <row r="291" spans="1:10" x14ac:dyDescent="0.2">
      <c r="A291" t="s">
        <v>280</v>
      </c>
      <c r="B291" t="s">
        <v>120</v>
      </c>
      <c r="C291" t="s">
        <v>121</v>
      </c>
      <c r="D291" t="s">
        <v>464</v>
      </c>
      <c r="E291" s="1">
        <v>45009</v>
      </c>
      <c r="F291">
        <v>6080</v>
      </c>
      <c r="G291" t="s">
        <v>242</v>
      </c>
      <c r="H291" t="s">
        <v>243</v>
      </c>
      <c r="I291">
        <f t="shared" si="8"/>
        <v>2023</v>
      </c>
      <c r="J291">
        <f t="shared" si="9"/>
        <v>12</v>
      </c>
    </row>
    <row r="292" spans="1:10" x14ac:dyDescent="0.2">
      <c r="A292" t="s">
        <v>311</v>
      </c>
      <c r="B292" t="s">
        <v>120</v>
      </c>
      <c r="C292" t="s">
        <v>121</v>
      </c>
      <c r="D292" t="s">
        <v>464</v>
      </c>
      <c r="E292" s="1">
        <v>45016</v>
      </c>
      <c r="F292">
        <v>6940</v>
      </c>
      <c r="G292" t="s">
        <v>242</v>
      </c>
      <c r="H292" t="s">
        <v>243</v>
      </c>
      <c r="I292">
        <f t="shared" si="8"/>
        <v>2023</v>
      </c>
      <c r="J292">
        <f t="shared" si="9"/>
        <v>13</v>
      </c>
    </row>
    <row r="293" spans="1:10" x14ac:dyDescent="0.2">
      <c r="A293" t="s">
        <v>318</v>
      </c>
      <c r="B293" t="s">
        <v>120</v>
      </c>
      <c r="C293" t="s">
        <v>121</v>
      </c>
      <c r="D293" t="s">
        <v>464</v>
      </c>
      <c r="E293" s="1">
        <v>45023</v>
      </c>
      <c r="F293">
        <v>6540</v>
      </c>
      <c r="G293" t="s">
        <v>242</v>
      </c>
      <c r="H293" t="s">
        <v>243</v>
      </c>
      <c r="I293">
        <f t="shared" si="8"/>
        <v>2023</v>
      </c>
      <c r="J293">
        <f t="shared" si="9"/>
        <v>14</v>
      </c>
    </row>
    <row r="294" spans="1:10" x14ac:dyDescent="0.2">
      <c r="A294" t="s">
        <v>298</v>
      </c>
      <c r="B294" t="s">
        <v>120</v>
      </c>
      <c r="C294" t="s">
        <v>121</v>
      </c>
      <c r="D294" t="s">
        <v>464</v>
      </c>
      <c r="E294" s="1">
        <v>45030</v>
      </c>
      <c r="F294">
        <v>6940</v>
      </c>
      <c r="G294" t="s">
        <v>242</v>
      </c>
      <c r="H294" t="s">
        <v>243</v>
      </c>
      <c r="I294">
        <f t="shared" si="8"/>
        <v>2023</v>
      </c>
      <c r="J294">
        <f t="shared" si="9"/>
        <v>15</v>
      </c>
    </row>
    <row r="295" spans="1:10" x14ac:dyDescent="0.2">
      <c r="A295" t="s">
        <v>347</v>
      </c>
      <c r="B295" t="s">
        <v>120</v>
      </c>
      <c r="C295" t="s">
        <v>121</v>
      </c>
      <c r="D295" t="s">
        <v>464</v>
      </c>
      <c r="E295" s="1">
        <v>44358</v>
      </c>
      <c r="F295">
        <v>1860</v>
      </c>
      <c r="G295" t="s">
        <v>434</v>
      </c>
      <c r="H295" t="s">
        <v>339</v>
      </c>
      <c r="I295">
        <f t="shared" si="8"/>
        <v>2021</v>
      </c>
      <c r="J295">
        <f t="shared" si="9"/>
        <v>23</v>
      </c>
    </row>
    <row r="296" spans="1:10" x14ac:dyDescent="0.2">
      <c r="A296" t="s">
        <v>359</v>
      </c>
      <c r="B296" t="s">
        <v>120</v>
      </c>
      <c r="C296" t="s">
        <v>121</v>
      </c>
      <c r="D296" t="s">
        <v>464</v>
      </c>
      <c r="E296" s="1">
        <v>44365</v>
      </c>
      <c r="F296">
        <v>1740</v>
      </c>
      <c r="G296" t="s">
        <v>434</v>
      </c>
      <c r="H296" t="s">
        <v>339</v>
      </c>
      <c r="I296">
        <f t="shared" si="8"/>
        <v>2021</v>
      </c>
      <c r="J296">
        <f t="shared" si="9"/>
        <v>24</v>
      </c>
    </row>
    <row r="297" spans="1:10" x14ac:dyDescent="0.2">
      <c r="A297" t="s">
        <v>424</v>
      </c>
      <c r="B297" t="s">
        <v>120</v>
      </c>
      <c r="C297" t="s">
        <v>121</v>
      </c>
      <c r="D297" t="s">
        <v>464</v>
      </c>
      <c r="E297" s="1">
        <v>44372</v>
      </c>
      <c r="F297">
        <v>1310</v>
      </c>
      <c r="G297" t="s">
        <v>434</v>
      </c>
      <c r="H297" t="s">
        <v>339</v>
      </c>
      <c r="I297">
        <f t="shared" si="8"/>
        <v>2021</v>
      </c>
      <c r="J297">
        <f t="shared" si="9"/>
        <v>25</v>
      </c>
    </row>
    <row r="298" spans="1:10" x14ac:dyDescent="0.2">
      <c r="A298" t="s">
        <v>361</v>
      </c>
      <c r="B298" t="s">
        <v>120</v>
      </c>
      <c r="C298" t="s">
        <v>121</v>
      </c>
      <c r="D298" t="s">
        <v>464</v>
      </c>
      <c r="E298" s="1">
        <v>44379</v>
      </c>
      <c r="F298">
        <v>1990</v>
      </c>
      <c r="G298" t="s">
        <v>434</v>
      </c>
      <c r="H298" t="s">
        <v>339</v>
      </c>
      <c r="I298">
        <f t="shared" si="8"/>
        <v>2021</v>
      </c>
      <c r="J298">
        <f t="shared" si="9"/>
        <v>26</v>
      </c>
    </row>
    <row r="299" spans="1:10" x14ac:dyDescent="0.2">
      <c r="A299" t="s">
        <v>403</v>
      </c>
      <c r="B299" t="s">
        <v>120</v>
      </c>
      <c r="C299" t="s">
        <v>121</v>
      </c>
      <c r="D299" t="s">
        <v>464</v>
      </c>
      <c r="E299" s="1">
        <v>44386</v>
      </c>
      <c r="F299">
        <v>1640</v>
      </c>
      <c r="G299" t="s">
        <v>434</v>
      </c>
      <c r="H299" t="s">
        <v>339</v>
      </c>
      <c r="I299">
        <f t="shared" si="8"/>
        <v>2021</v>
      </c>
      <c r="J299">
        <f t="shared" si="9"/>
        <v>27</v>
      </c>
    </row>
    <row r="300" spans="1:10" x14ac:dyDescent="0.2">
      <c r="A300" t="s">
        <v>344</v>
      </c>
      <c r="B300" t="s">
        <v>120</v>
      </c>
      <c r="C300" t="s">
        <v>121</v>
      </c>
      <c r="D300" t="s">
        <v>464</v>
      </c>
      <c r="E300" s="1">
        <v>44393</v>
      </c>
      <c r="F300">
        <v>1150</v>
      </c>
      <c r="G300" t="s">
        <v>434</v>
      </c>
      <c r="H300" t="s">
        <v>339</v>
      </c>
      <c r="I300">
        <f t="shared" si="8"/>
        <v>2021</v>
      </c>
      <c r="J300">
        <f t="shared" si="9"/>
        <v>28</v>
      </c>
    </row>
    <row r="301" spans="1:10" x14ac:dyDescent="0.2">
      <c r="A301" t="s">
        <v>401</v>
      </c>
      <c r="B301" t="s">
        <v>120</v>
      </c>
      <c r="C301" t="s">
        <v>121</v>
      </c>
      <c r="D301" t="s">
        <v>464</v>
      </c>
      <c r="E301" s="1">
        <v>44400</v>
      </c>
      <c r="F301">
        <v>1340</v>
      </c>
      <c r="G301" t="s">
        <v>434</v>
      </c>
      <c r="H301" t="s">
        <v>339</v>
      </c>
      <c r="I301">
        <f t="shared" si="8"/>
        <v>2021</v>
      </c>
      <c r="J301">
        <f t="shared" si="9"/>
        <v>29</v>
      </c>
    </row>
    <row r="302" spans="1:10" x14ac:dyDescent="0.2">
      <c r="A302" t="s">
        <v>366</v>
      </c>
      <c r="B302" t="s">
        <v>120</v>
      </c>
      <c r="C302" t="s">
        <v>121</v>
      </c>
      <c r="D302" t="s">
        <v>464</v>
      </c>
      <c r="E302" s="1">
        <v>44407</v>
      </c>
      <c r="F302">
        <v>1110</v>
      </c>
      <c r="G302" t="s">
        <v>434</v>
      </c>
      <c r="H302" t="s">
        <v>339</v>
      </c>
      <c r="I302">
        <f t="shared" si="8"/>
        <v>2021</v>
      </c>
      <c r="J302">
        <f t="shared" si="9"/>
        <v>30</v>
      </c>
    </row>
    <row r="303" spans="1:10" x14ac:dyDescent="0.2">
      <c r="A303" t="s">
        <v>399</v>
      </c>
      <c r="B303" t="s">
        <v>120</v>
      </c>
      <c r="C303" t="s">
        <v>121</v>
      </c>
      <c r="D303" t="s">
        <v>464</v>
      </c>
      <c r="E303" s="1">
        <v>44414</v>
      </c>
      <c r="F303">
        <v>1890</v>
      </c>
      <c r="G303" t="s">
        <v>434</v>
      </c>
      <c r="H303" t="s">
        <v>339</v>
      </c>
      <c r="I303">
        <f t="shared" si="8"/>
        <v>2021</v>
      </c>
      <c r="J303">
        <f t="shared" si="9"/>
        <v>31</v>
      </c>
    </row>
    <row r="304" spans="1:10" x14ac:dyDescent="0.2">
      <c r="A304" t="s">
        <v>402</v>
      </c>
      <c r="B304" t="s">
        <v>120</v>
      </c>
      <c r="C304" t="s">
        <v>121</v>
      </c>
      <c r="D304" t="s">
        <v>464</v>
      </c>
      <c r="E304" s="1">
        <v>44421</v>
      </c>
      <c r="F304">
        <v>1890</v>
      </c>
      <c r="G304" t="s">
        <v>434</v>
      </c>
      <c r="H304" t="s">
        <v>339</v>
      </c>
      <c r="I304">
        <f t="shared" si="8"/>
        <v>2021</v>
      </c>
      <c r="J304">
        <f t="shared" si="9"/>
        <v>32</v>
      </c>
    </row>
    <row r="305" spans="1:10" x14ac:dyDescent="0.2">
      <c r="A305" t="s">
        <v>342</v>
      </c>
      <c r="B305" t="s">
        <v>120</v>
      </c>
      <c r="C305" t="s">
        <v>121</v>
      </c>
      <c r="D305" t="s">
        <v>464</v>
      </c>
      <c r="E305" s="1">
        <v>44428</v>
      </c>
      <c r="F305">
        <v>1490</v>
      </c>
      <c r="G305" t="s">
        <v>434</v>
      </c>
      <c r="H305" t="s">
        <v>339</v>
      </c>
      <c r="I305">
        <f t="shared" si="8"/>
        <v>2021</v>
      </c>
      <c r="J305">
        <f t="shared" si="9"/>
        <v>33</v>
      </c>
    </row>
    <row r="306" spans="1:10" x14ac:dyDescent="0.2">
      <c r="A306" t="s">
        <v>433</v>
      </c>
      <c r="B306" t="s">
        <v>120</v>
      </c>
      <c r="C306" t="s">
        <v>121</v>
      </c>
      <c r="D306" t="s">
        <v>464</v>
      </c>
      <c r="E306" s="1">
        <v>44435</v>
      </c>
      <c r="F306">
        <v>1120</v>
      </c>
      <c r="G306" t="s">
        <v>434</v>
      </c>
      <c r="H306" t="s">
        <v>339</v>
      </c>
      <c r="I306">
        <f t="shared" si="8"/>
        <v>2021</v>
      </c>
      <c r="J306">
        <f t="shared" si="9"/>
        <v>34</v>
      </c>
    </row>
    <row r="307" spans="1:10" x14ac:dyDescent="0.2">
      <c r="A307" t="s">
        <v>371</v>
      </c>
      <c r="B307" t="s">
        <v>120</v>
      </c>
      <c r="C307" t="s">
        <v>121</v>
      </c>
      <c r="D307" t="s">
        <v>464</v>
      </c>
      <c r="E307" s="1">
        <v>44442</v>
      </c>
      <c r="F307">
        <v>1360</v>
      </c>
      <c r="G307" t="s">
        <v>434</v>
      </c>
      <c r="H307" t="s">
        <v>339</v>
      </c>
      <c r="I307">
        <f t="shared" si="8"/>
        <v>2021</v>
      </c>
      <c r="J307">
        <f t="shared" si="9"/>
        <v>35</v>
      </c>
    </row>
    <row r="308" spans="1:10" x14ac:dyDescent="0.2">
      <c r="A308" t="s">
        <v>371</v>
      </c>
      <c r="B308" t="s">
        <v>120</v>
      </c>
      <c r="C308" t="s">
        <v>121</v>
      </c>
      <c r="D308" t="s">
        <v>464</v>
      </c>
      <c r="E308" s="1">
        <v>44449</v>
      </c>
      <c r="F308">
        <v>1480</v>
      </c>
      <c r="G308" t="s">
        <v>434</v>
      </c>
      <c r="H308" t="s">
        <v>339</v>
      </c>
      <c r="I308">
        <f t="shared" si="8"/>
        <v>2021</v>
      </c>
      <c r="J308">
        <f t="shared" si="9"/>
        <v>36</v>
      </c>
    </row>
    <row r="309" spans="1:10" x14ac:dyDescent="0.2">
      <c r="A309" t="s">
        <v>390</v>
      </c>
      <c r="B309" t="s">
        <v>120</v>
      </c>
      <c r="C309" t="s">
        <v>121</v>
      </c>
      <c r="D309" t="s">
        <v>464</v>
      </c>
      <c r="E309" s="1">
        <v>44456</v>
      </c>
      <c r="F309">
        <v>1320</v>
      </c>
      <c r="G309" t="s">
        <v>434</v>
      </c>
      <c r="H309" t="s">
        <v>339</v>
      </c>
      <c r="I309">
        <f t="shared" si="8"/>
        <v>2021</v>
      </c>
      <c r="J309">
        <f t="shared" si="9"/>
        <v>37</v>
      </c>
    </row>
    <row r="310" spans="1:10" x14ac:dyDescent="0.2">
      <c r="A310" t="s">
        <v>406</v>
      </c>
      <c r="B310" t="s">
        <v>120</v>
      </c>
      <c r="C310" t="s">
        <v>121</v>
      </c>
      <c r="D310" t="s">
        <v>464</v>
      </c>
      <c r="E310" s="1">
        <v>44463</v>
      </c>
      <c r="F310">
        <v>1690</v>
      </c>
      <c r="G310" t="s">
        <v>434</v>
      </c>
      <c r="H310" t="s">
        <v>339</v>
      </c>
      <c r="I310">
        <f t="shared" si="8"/>
        <v>2021</v>
      </c>
      <c r="J310">
        <f t="shared" si="9"/>
        <v>38</v>
      </c>
    </row>
    <row r="311" spans="1:10" x14ac:dyDescent="0.2">
      <c r="A311" t="s">
        <v>374</v>
      </c>
      <c r="B311" t="s">
        <v>120</v>
      </c>
      <c r="C311" t="s">
        <v>121</v>
      </c>
      <c r="D311" t="s">
        <v>464</v>
      </c>
      <c r="E311" s="1">
        <v>44470</v>
      </c>
      <c r="F311">
        <v>1180</v>
      </c>
      <c r="G311" t="s">
        <v>434</v>
      </c>
      <c r="H311" t="s">
        <v>339</v>
      </c>
      <c r="I311">
        <f t="shared" si="8"/>
        <v>2021</v>
      </c>
      <c r="J311">
        <f t="shared" si="9"/>
        <v>39</v>
      </c>
    </row>
    <row r="312" spans="1:10" x14ac:dyDescent="0.2">
      <c r="A312" t="s">
        <v>376</v>
      </c>
      <c r="B312" t="s">
        <v>120</v>
      </c>
      <c r="C312" t="s">
        <v>121</v>
      </c>
      <c r="D312" t="s">
        <v>464</v>
      </c>
      <c r="E312" s="1">
        <v>44477</v>
      </c>
      <c r="F312">
        <v>1040</v>
      </c>
      <c r="G312" t="s">
        <v>434</v>
      </c>
      <c r="H312" t="s">
        <v>339</v>
      </c>
      <c r="I312">
        <f t="shared" si="8"/>
        <v>2021</v>
      </c>
      <c r="J312">
        <f t="shared" si="9"/>
        <v>40</v>
      </c>
    </row>
    <row r="313" spans="1:10" x14ac:dyDescent="0.2">
      <c r="A313" t="s">
        <v>421</v>
      </c>
      <c r="B313" t="s">
        <v>120</v>
      </c>
      <c r="C313" t="s">
        <v>121</v>
      </c>
      <c r="D313" t="s">
        <v>464</v>
      </c>
      <c r="E313" s="1">
        <v>44484</v>
      </c>
      <c r="F313">
        <v>1540</v>
      </c>
      <c r="G313" t="s">
        <v>434</v>
      </c>
      <c r="H313" t="s">
        <v>339</v>
      </c>
      <c r="I313">
        <f t="shared" si="8"/>
        <v>2021</v>
      </c>
      <c r="J313">
        <f t="shared" si="9"/>
        <v>41</v>
      </c>
    </row>
    <row r="314" spans="1:10" x14ac:dyDescent="0.2">
      <c r="A314" t="s">
        <v>422</v>
      </c>
      <c r="B314" t="s">
        <v>120</v>
      </c>
      <c r="C314" t="s">
        <v>121</v>
      </c>
      <c r="D314" t="s">
        <v>464</v>
      </c>
      <c r="E314" s="1">
        <v>44491</v>
      </c>
      <c r="F314">
        <v>1460</v>
      </c>
      <c r="G314" t="s">
        <v>434</v>
      </c>
      <c r="H314" t="s">
        <v>339</v>
      </c>
      <c r="I314">
        <f t="shared" ref="I314:I377" si="10">YEAR(E314)</f>
        <v>2021</v>
      </c>
      <c r="J314">
        <f t="shared" ref="J314:J377" si="11">_xlfn.ISOWEEKNUM(E314)</f>
        <v>42</v>
      </c>
    </row>
    <row r="315" spans="1:10" x14ac:dyDescent="0.2">
      <c r="A315" t="s">
        <v>340</v>
      </c>
      <c r="B315" t="s">
        <v>120</v>
      </c>
      <c r="C315" t="s">
        <v>121</v>
      </c>
      <c r="D315" t="s">
        <v>464</v>
      </c>
      <c r="E315" s="1">
        <v>44498</v>
      </c>
      <c r="F315">
        <v>1420</v>
      </c>
      <c r="G315" t="s">
        <v>434</v>
      </c>
      <c r="H315" t="s">
        <v>339</v>
      </c>
      <c r="I315">
        <f t="shared" si="10"/>
        <v>2021</v>
      </c>
      <c r="J315">
        <f t="shared" si="11"/>
        <v>43</v>
      </c>
    </row>
    <row r="316" spans="1:10" x14ac:dyDescent="0.2">
      <c r="A316" t="s">
        <v>348</v>
      </c>
      <c r="B316" t="s">
        <v>120</v>
      </c>
      <c r="C316" t="s">
        <v>121</v>
      </c>
      <c r="D316" t="s">
        <v>464</v>
      </c>
      <c r="E316" s="1">
        <v>44505</v>
      </c>
      <c r="F316">
        <v>1920</v>
      </c>
      <c r="G316" t="s">
        <v>434</v>
      </c>
      <c r="H316" t="s">
        <v>339</v>
      </c>
      <c r="I316">
        <f t="shared" si="10"/>
        <v>2021</v>
      </c>
      <c r="J316">
        <f t="shared" si="11"/>
        <v>44</v>
      </c>
    </row>
    <row r="317" spans="1:10" x14ac:dyDescent="0.2">
      <c r="A317" t="s">
        <v>372</v>
      </c>
      <c r="B317" t="s">
        <v>120</v>
      </c>
      <c r="C317" t="s">
        <v>121</v>
      </c>
      <c r="D317" t="s">
        <v>464</v>
      </c>
      <c r="E317" s="1">
        <v>44512</v>
      </c>
      <c r="F317">
        <v>1420</v>
      </c>
      <c r="G317" t="s">
        <v>434</v>
      </c>
      <c r="H317" t="s">
        <v>339</v>
      </c>
      <c r="I317">
        <f t="shared" si="10"/>
        <v>2021</v>
      </c>
      <c r="J317">
        <f t="shared" si="11"/>
        <v>45</v>
      </c>
    </row>
    <row r="318" spans="1:10" x14ac:dyDescent="0.2">
      <c r="A318" t="s">
        <v>387</v>
      </c>
      <c r="B318" t="s">
        <v>120</v>
      </c>
      <c r="C318" t="s">
        <v>121</v>
      </c>
      <c r="D318" t="s">
        <v>464</v>
      </c>
      <c r="E318" s="1">
        <v>44519</v>
      </c>
      <c r="F318">
        <v>1070</v>
      </c>
      <c r="G318" t="s">
        <v>434</v>
      </c>
      <c r="H318" t="s">
        <v>339</v>
      </c>
      <c r="I318">
        <f t="shared" si="10"/>
        <v>2021</v>
      </c>
      <c r="J318">
        <f t="shared" si="11"/>
        <v>46</v>
      </c>
    </row>
    <row r="319" spans="1:10" x14ac:dyDescent="0.2">
      <c r="A319" t="s">
        <v>387</v>
      </c>
      <c r="B319" t="s">
        <v>120</v>
      </c>
      <c r="C319" t="s">
        <v>121</v>
      </c>
      <c r="D319" t="s">
        <v>464</v>
      </c>
      <c r="E319" s="1">
        <v>44526</v>
      </c>
      <c r="F319">
        <v>1550</v>
      </c>
      <c r="G319" t="s">
        <v>434</v>
      </c>
      <c r="H319" t="s">
        <v>339</v>
      </c>
      <c r="I319">
        <f t="shared" si="10"/>
        <v>2021</v>
      </c>
      <c r="J319">
        <f t="shared" si="11"/>
        <v>47</v>
      </c>
    </row>
    <row r="320" spans="1:10" x14ac:dyDescent="0.2">
      <c r="A320" t="s">
        <v>384</v>
      </c>
      <c r="B320" t="s">
        <v>120</v>
      </c>
      <c r="C320" t="s">
        <v>121</v>
      </c>
      <c r="D320" t="s">
        <v>464</v>
      </c>
      <c r="E320" s="1">
        <v>44533</v>
      </c>
      <c r="F320">
        <v>1550</v>
      </c>
      <c r="G320" t="s">
        <v>434</v>
      </c>
      <c r="H320" t="s">
        <v>339</v>
      </c>
      <c r="I320">
        <f t="shared" si="10"/>
        <v>2021</v>
      </c>
      <c r="J320">
        <f t="shared" si="11"/>
        <v>48</v>
      </c>
    </row>
    <row r="321" spans="1:10" x14ac:dyDescent="0.2">
      <c r="A321" t="s">
        <v>381</v>
      </c>
      <c r="B321" t="s">
        <v>120</v>
      </c>
      <c r="C321" t="s">
        <v>121</v>
      </c>
      <c r="D321" t="s">
        <v>464</v>
      </c>
      <c r="E321" s="1">
        <v>44540</v>
      </c>
      <c r="F321">
        <v>1170</v>
      </c>
      <c r="G321" t="s">
        <v>434</v>
      </c>
      <c r="H321" t="s">
        <v>339</v>
      </c>
      <c r="I321">
        <f t="shared" si="10"/>
        <v>2021</v>
      </c>
      <c r="J321">
        <f t="shared" si="11"/>
        <v>49</v>
      </c>
    </row>
    <row r="322" spans="1:10" x14ac:dyDescent="0.2">
      <c r="A322" t="s">
        <v>420</v>
      </c>
      <c r="B322" t="s">
        <v>120</v>
      </c>
      <c r="C322" t="s">
        <v>121</v>
      </c>
      <c r="D322" t="s">
        <v>464</v>
      </c>
      <c r="E322" s="1">
        <v>44547</v>
      </c>
      <c r="F322">
        <v>1400</v>
      </c>
      <c r="G322" t="s">
        <v>434</v>
      </c>
      <c r="H322" t="s">
        <v>339</v>
      </c>
      <c r="I322">
        <f t="shared" si="10"/>
        <v>2021</v>
      </c>
      <c r="J322">
        <f t="shared" si="11"/>
        <v>50</v>
      </c>
    </row>
    <row r="323" spans="1:10" x14ac:dyDescent="0.2">
      <c r="A323" t="s">
        <v>417</v>
      </c>
      <c r="B323" t="s">
        <v>120</v>
      </c>
      <c r="C323" t="s">
        <v>121</v>
      </c>
      <c r="D323" t="s">
        <v>464</v>
      </c>
      <c r="E323" s="1">
        <v>44554</v>
      </c>
      <c r="F323">
        <v>1590</v>
      </c>
      <c r="G323" t="s">
        <v>434</v>
      </c>
      <c r="H323" t="s">
        <v>339</v>
      </c>
      <c r="I323">
        <f t="shared" si="10"/>
        <v>2021</v>
      </c>
      <c r="J323">
        <f t="shared" si="11"/>
        <v>51</v>
      </c>
    </row>
    <row r="324" spans="1:10" x14ac:dyDescent="0.2">
      <c r="A324" t="s">
        <v>351</v>
      </c>
      <c r="B324" t="s">
        <v>120</v>
      </c>
      <c r="C324" t="s">
        <v>121</v>
      </c>
      <c r="D324" t="s">
        <v>464</v>
      </c>
      <c r="E324" s="1">
        <v>44561</v>
      </c>
      <c r="F324">
        <v>1260</v>
      </c>
      <c r="G324" t="s">
        <v>434</v>
      </c>
      <c r="H324" t="s">
        <v>339</v>
      </c>
      <c r="I324">
        <f t="shared" si="10"/>
        <v>2021</v>
      </c>
      <c r="J324">
        <f t="shared" si="11"/>
        <v>52</v>
      </c>
    </row>
    <row r="325" spans="1:10" x14ac:dyDescent="0.2">
      <c r="A325" t="s">
        <v>405</v>
      </c>
      <c r="B325" t="s">
        <v>120</v>
      </c>
      <c r="C325" t="s">
        <v>121</v>
      </c>
      <c r="D325" t="s">
        <v>464</v>
      </c>
      <c r="E325" s="1">
        <v>44568</v>
      </c>
      <c r="F325">
        <v>1600</v>
      </c>
      <c r="G325" t="s">
        <v>434</v>
      </c>
      <c r="H325" t="s">
        <v>339</v>
      </c>
      <c r="I325">
        <f t="shared" si="10"/>
        <v>2022</v>
      </c>
      <c r="J325">
        <f t="shared" si="11"/>
        <v>1</v>
      </c>
    </row>
    <row r="326" spans="1:10" x14ac:dyDescent="0.2">
      <c r="A326" t="s">
        <v>360</v>
      </c>
      <c r="B326" t="s">
        <v>120</v>
      </c>
      <c r="C326" t="s">
        <v>121</v>
      </c>
      <c r="D326" t="s">
        <v>464</v>
      </c>
      <c r="E326" s="1">
        <v>44575</v>
      </c>
      <c r="F326">
        <v>1850</v>
      </c>
      <c r="G326" t="s">
        <v>434</v>
      </c>
      <c r="H326" t="s">
        <v>339</v>
      </c>
      <c r="I326">
        <f t="shared" si="10"/>
        <v>2022</v>
      </c>
      <c r="J326">
        <f t="shared" si="11"/>
        <v>2</v>
      </c>
    </row>
    <row r="327" spans="1:10" x14ac:dyDescent="0.2">
      <c r="A327" t="s">
        <v>346</v>
      </c>
      <c r="B327" t="s">
        <v>120</v>
      </c>
      <c r="C327" t="s">
        <v>121</v>
      </c>
      <c r="D327" t="s">
        <v>464</v>
      </c>
      <c r="E327" s="1">
        <v>44582</v>
      </c>
      <c r="F327">
        <v>1850</v>
      </c>
      <c r="G327" t="s">
        <v>434</v>
      </c>
      <c r="H327" t="s">
        <v>339</v>
      </c>
      <c r="I327">
        <f t="shared" si="10"/>
        <v>2022</v>
      </c>
      <c r="J327">
        <f t="shared" si="11"/>
        <v>3</v>
      </c>
    </row>
    <row r="328" spans="1:10" x14ac:dyDescent="0.2">
      <c r="A328" t="s">
        <v>418</v>
      </c>
      <c r="B328" t="s">
        <v>120</v>
      </c>
      <c r="C328" t="s">
        <v>121</v>
      </c>
      <c r="D328" t="s">
        <v>464</v>
      </c>
      <c r="E328" s="1">
        <v>44589</v>
      </c>
      <c r="F328">
        <v>1720</v>
      </c>
      <c r="G328" t="s">
        <v>434</v>
      </c>
      <c r="H328" t="s">
        <v>339</v>
      </c>
      <c r="I328">
        <f t="shared" si="10"/>
        <v>2022</v>
      </c>
      <c r="J328">
        <f t="shared" si="11"/>
        <v>4</v>
      </c>
    </row>
    <row r="329" spans="1:10" x14ac:dyDescent="0.2">
      <c r="A329" t="s">
        <v>404</v>
      </c>
      <c r="B329" t="s">
        <v>120</v>
      </c>
      <c r="C329" t="s">
        <v>121</v>
      </c>
      <c r="D329" t="s">
        <v>464</v>
      </c>
      <c r="E329" s="1">
        <v>44596</v>
      </c>
      <c r="F329">
        <v>1560</v>
      </c>
      <c r="G329" t="s">
        <v>434</v>
      </c>
      <c r="H329" t="s">
        <v>339</v>
      </c>
      <c r="I329">
        <f t="shared" si="10"/>
        <v>2022</v>
      </c>
      <c r="J329">
        <f t="shared" si="11"/>
        <v>5</v>
      </c>
    </row>
    <row r="330" spans="1:10" x14ac:dyDescent="0.2">
      <c r="A330" t="s">
        <v>425</v>
      </c>
      <c r="B330" t="s">
        <v>120</v>
      </c>
      <c r="C330" t="s">
        <v>121</v>
      </c>
      <c r="D330" t="s">
        <v>464</v>
      </c>
      <c r="E330" s="1">
        <v>44603</v>
      </c>
      <c r="F330">
        <v>1770</v>
      </c>
      <c r="G330" t="s">
        <v>434</v>
      </c>
      <c r="H330" t="s">
        <v>339</v>
      </c>
      <c r="I330">
        <f t="shared" si="10"/>
        <v>2022</v>
      </c>
      <c r="J330">
        <f t="shared" si="11"/>
        <v>6</v>
      </c>
    </row>
    <row r="331" spans="1:10" x14ac:dyDescent="0.2">
      <c r="A331" t="s">
        <v>343</v>
      </c>
      <c r="B331" t="s">
        <v>120</v>
      </c>
      <c r="C331" t="s">
        <v>121</v>
      </c>
      <c r="D331" t="s">
        <v>464</v>
      </c>
      <c r="E331" s="1">
        <v>44610</v>
      </c>
      <c r="F331">
        <v>1560</v>
      </c>
      <c r="G331" t="s">
        <v>434</v>
      </c>
      <c r="H331" t="s">
        <v>339</v>
      </c>
      <c r="I331">
        <f t="shared" si="10"/>
        <v>2022</v>
      </c>
      <c r="J331">
        <f t="shared" si="11"/>
        <v>7</v>
      </c>
    </row>
    <row r="332" spans="1:10" x14ac:dyDescent="0.2">
      <c r="A332" t="s">
        <v>378</v>
      </c>
      <c r="B332" t="s">
        <v>120</v>
      </c>
      <c r="C332" t="s">
        <v>121</v>
      </c>
      <c r="D332" t="s">
        <v>464</v>
      </c>
      <c r="E332" s="1">
        <v>44617</v>
      </c>
      <c r="F332">
        <v>1120</v>
      </c>
      <c r="G332" t="s">
        <v>434</v>
      </c>
      <c r="H332" t="s">
        <v>339</v>
      </c>
      <c r="I332">
        <f t="shared" si="10"/>
        <v>2022</v>
      </c>
      <c r="J332">
        <f t="shared" si="11"/>
        <v>8</v>
      </c>
    </row>
    <row r="333" spans="1:10" x14ac:dyDescent="0.2">
      <c r="A333" t="s">
        <v>364</v>
      </c>
      <c r="B333" t="s">
        <v>120</v>
      </c>
      <c r="C333" t="s">
        <v>121</v>
      </c>
      <c r="D333" t="s">
        <v>464</v>
      </c>
      <c r="E333" s="1">
        <v>44624</v>
      </c>
      <c r="F333">
        <v>1480</v>
      </c>
      <c r="G333" t="s">
        <v>434</v>
      </c>
      <c r="H333" t="s">
        <v>339</v>
      </c>
      <c r="I333">
        <f t="shared" si="10"/>
        <v>2022</v>
      </c>
      <c r="J333">
        <f t="shared" si="11"/>
        <v>9</v>
      </c>
    </row>
    <row r="334" spans="1:10" x14ac:dyDescent="0.2">
      <c r="A334" t="s">
        <v>426</v>
      </c>
      <c r="B334" t="s">
        <v>120</v>
      </c>
      <c r="C334" t="s">
        <v>121</v>
      </c>
      <c r="D334" t="s">
        <v>464</v>
      </c>
      <c r="E334" s="1">
        <v>44631</v>
      </c>
      <c r="F334">
        <v>1840</v>
      </c>
      <c r="G334" t="s">
        <v>434</v>
      </c>
      <c r="H334" t="s">
        <v>339</v>
      </c>
      <c r="I334">
        <f t="shared" si="10"/>
        <v>2022</v>
      </c>
      <c r="J334">
        <f t="shared" si="11"/>
        <v>10</v>
      </c>
    </row>
    <row r="335" spans="1:10" x14ac:dyDescent="0.2">
      <c r="A335" t="s">
        <v>385</v>
      </c>
      <c r="B335" t="s">
        <v>120</v>
      </c>
      <c r="C335" t="s">
        <v>121</v>
      </c>
      <c r="D335" t="s">
        <v>464</v>
      </c>
      <c r="E335" s="1">
        <v>44638</v>
      </c>
      <c r="F335">
        <v>1670</v>
      </c>
      <c r="G335" t="s">
        <v>434</v>
      </c>
      <c r="H335" t="s">
        <v>339</v>
      </c>
      <c r="I335">
        <f t="shared" si="10"/>
        <v>2022</v>
      </c>
      <c r="J335">
        <f t="shared" si="11"/>
        <v>11</v>
      </c>
    </row>
    <row r="336" spans="1:10" x14ac:dyDescent="0.2">
      <c r="A336" t="s">
        <v>411</v>
      </c>
      <c r="B336" t="s">
        <v>120</v>
      </c>
      <c r="C336" t="s">
        <v>121</v>
      </c>
      <c r="D336" t="s">
        <v>464</v>
      </c>
      <c r="E336" s="1">
        <v>44645</v>
      </c>
      <c r="F336">
        <v>1270</v>
      </c>
      <c r="G336" t="s">
        <v>434</v>
      </c>
      <c r="H336" t="s">
        <v>339</v>
      </c>
      <c r="I336">
        <f t="shared" si="10"/>
        <v>2022</v>
      </c>
      <c r="J336">
        <f t="shared" si="11"/>
        <v>12</v>
      </c>
    </row>
    <row r="337" spans="1:10" x14ac:dyDescent="0.2">
      <c r="A337" t="s">
        <v>394</v>
      </c>
      <c r="B337" t="s">
        <v>120</v>
      </c>
      <c r="C337" t="s">
        <v>121</v>
      </c>
      <c r="D337" t="s">
        <v>464</v>
      </c>
      <c r="E337" s="1">
        <v>44652</v>
      </c>
      <c r="F337">
        <v>1900</v>
      </c>
      <c r="G337" t="s">
        <v>434</v>
      </c>
      <c r="H337" t="s">
        <v>339</v>
      </c>
      <c r="I337">
        <f t="shared" si="10"/>
        <v>2022</v>
      </c>
      <c r="J337">
        <f t="shared" si="11"/>
        <v>13</v>
      </c>
    </row>
    <row r="338" spans="1:10" x14ac:dyDescent="0.2">
      <c r="A338" t="s">
        <v>388</v>
      </c>
      <c r="B338" t="s">
        <v>120</v>
      </c>
      <c r="C338" t="s">
        <v>121</v>
      </c>
      <c r="D338" t="s">
        <v>464</v>
      </c>
      <c r="E338" s="1">
        <v>44659</v>
      </c>
      <c r="F338">
        <v>1200</v>
      </c>
      <c r="G338" t="s">
        <v>434</v>
      </c>
      <c r="H338" t="s">
        <v>339</v>
      </c>
      <c r="I338">
        <f t="shared" si="10"/>
        <v>2022</v>
      </c>
      <c r="J338">
        <f t="shared" si="11"/>
        <v>14</v>
      </c>
    </row>
    <row r="339" spans="1:10" x14ac:dyDescent="0.2">
      <c r="A339" t="s">
        <v>391</v>
      </c>
      <c r="B339" t="s">
        <v>120</v>
      </c>
      <c r="C339" t="s">
        <v>121</v>
      </c>
      <c r="D339" t="s">
        <v>464</v>
      </c>
      <c r="E339" s="1">
        <v>44666</v>
      </c>
      <c r="F339">
        <v>1940</v>
      </c>
      <c r="G339" t="s">
        <v>434</v>
      </c>
      <c r="H339" t="s">
        <v>339</v>
      </c>
      <c r="I339">
        <f t="shared" si="10"/>
        <v>2022</v>
      </c>
      <c r="J339">
        <f t="shared" si="11"/>
        <v>15</v>
      </c>
    </row>
    <row r="340" spans="1:10" x14ac:dyDescent="0.2">
      <c r="A340" t="s">
        <v>396</v>
      </c>
      <c r="B340" t="s">
        <v>120</v>
      </c>
      <c r="C340" t="s">
        <v>121</v>
      </c>
      <c r="D340" t="s">
        <v>464</v>
      </c>
      <c r="E340" s="1">
        <v>44673</v>
      </c>
      <c r="F340">
        <v>1070</v>
      </c>
      <c r="G340" t="s">
        <v>434</v>
      </c>
      <c r="H340" t="s">
        <v>339</v>
      </c>
      <c r="I340">
        <f t="shared" si="10"/>
        <v>2022</v>
      </c>
      <c r="J340">
        <f t="shared" si="11"/>
        <v>16</v>
      </c>
    </row>
    <row r="341" spans="1:10" x14ac:dyDescent="0.2">
      <c r="A341" t="s">
        <v>365</v>
      </c>
      <c r="B341" t="s">
        <v>120</v>
      </c>
      <c r="C341" t="s">
        <v>121</v>
      </c>
      <c r="D341" t="s">
        <v>464</v>
      </c>
      <c r="E341" s="1">
        <v>44680</v>
      </c>
      <c r="F341">
        <v>1930</v>
      </c>
      <c r="G341" t="s">
        <v>434</v>
      </c>
      <c r="H341" t="s">
        <v>339</v>
      </c>
      <c r="I341">
        <f t="shared" si="10"/>
        <v>2022</v>
      </c>
      <c r="J341">
        <f t="shared" si="11"/>
        <v>17</v>
      </c>
    </row>
    <row r="342" spans="1:10" x14ac:dyDescent="0.2">
      <c r="A342" t="s">
        <v>432</v>
      </c>
      <c r="B342" t="s">
        <v>120</v>
      </c>
      <c r="C342" t="s">
        <v>121</v>
      </c>
      <c r="D342" t="s">
        <v>464</v>
      </c>
      <c r="E342" s="1">
        <v>44687</v>
      </c>
      <c r="F342">
        <v>1500</v>
      </c>
      <c r="G342" t="s">
        <v>434</v>
      </c>
      <c r="H342" t="s">
        <v>339</v>
      </c>
      <c r="I342">
        <f t="shared" si="10"/>
        <v>2022</v>
      </c>
      <c r="J342">
        <f t="shared" si="11"/>
        <v>18</v>
      </c>
    </row>
    <row r="343" spans="1:10" x14ac:dyDescent="0.2">
      <c r="A343" t="s">
        <v>367</v>
      </c>
      <c r="B343" t="s">
        <v>120</v>
      </c>
      <c r="C343" t="s">
        <v>121</v>
      </c>
      <c r="D343" t="s">
        <v>464</v>
      </c>
      <c r="E343" s="1">
        <v>44694</v>
      </c>
      <c r="F343">
        <v>1660</v>
      </c>
      <c r="G343" t="s">
        <v>434</v>
      </c>
      <c r="H343" t="s">
        <v>339</v>
      </c>
      <c r="I343">
        <f t="shared" si="10"/>
        <v>2022</v>
      </c>
      <c r="J343">
        <f t="shared" si="11"/>
        <v>19</v>
      </c>
    </row>
    <row r="344" spans="1:10" x14ac:dyDescent="0.2">
      <c r="A344" t="s">
        <v>413</v>
      </c>
      <c r="B344" t="s">
        <v>120</v>
      </c>
      <c r="C344" t="s">
        <v>121</v>
      </c>
      <c r="D344" t="s">
        <v>464</v>
      </c>
      <c r="E344" s="1">
        <v>44701</v>
      </c>
      <c r="F344">
        <v>1620</v>
      </c>
      <c r="G344" t="s">
        <v>434</v>
      </c>
      <c r="H344" t="s">
        <v>339</v>
      </c>
      <c r="I344">
        <f t="shared" si="10"/>
        <v>2022</v>
      </c>
      <c r="J344">
        <f t="shared" si="11"/>
        <v>20</v>
      </c>
    </row>
    <row r="345" spans="1:10" x14ac:dyDescent="0.2">
      <c r="A345" t="s">
        <v>369</v>
      </c>
      <c r="B345" t="s">
        <v>120</v>
      </c>
      <c r="C345" t="s">
        <v>121</v>
      </c>
      <c r="D345" t="s">
        <v>464</v>
      </c>
      <c r="E345" s="1">
        <v>44708</v>
      </c>
      <c r="F345">
        <v>1880</v>
      </c>
      <c r="G345" t="s">
        <v>434</v>
      </c>
      <c r="H345" t="s">
        <v>339</v>
      </c>
      <c r="I345">
        <f t="shared" si="10"/>
        <v>2022</v>
      </c>
      <c r="J345">
        <f t="shared" si="11"/>
        <v>21</v>
      </c>
    </row>
    <row r="346" spans="1:10" x14ac:dyDescent="0.2">
      <c r="A346" t="s">
        <v>431</v>
      </c>
      <c r="B346" t="s">
        <v>120</v>
      </c>
      <c r="C346" t="s">
        <v>121</v>
      </c>
      <c r="D346" t="s">
        <v>464</v>
      </c>
      <c r="E346" s="1">
        <v>44715</v>
      </c>
      <c r="F346">
        <v>1150</v>
      </c>
      <c r="G346" t="s">
        <v>434</v>
      </c>
      <c r="H346" t="s">
        <v>339</v>
      </c>
      <c r="I346">
        <f t="shared" si="10"/>
        <v>2022</v>
      </c>
      <c r="J346">
        <f t="shared" si="11"/>
        <v>22</v>
      </c>
    </row>
    <row r="347" spans="1:10" x14ac:dyDescent="0.2">
      <c r="A347" t="s">
        <v>358</v>
      </c>
      <c r="B347" t="s">
        <v>120</v>
      </c>
      <c r="C347" t="s">
        <v>121</v>
      </c>
      <c r="D347" t="s">
        <v>464</v>
      </c>
      <c r="E347" s="1">
        <v>44722</v>
      </c>
      <c r="F347">
        <v>1050</v>
      </c>
      <c r="G347" t="s">
        <v>434</v>
      </c>
      <c r="H347" t="s">
        <v>339</v>
      </c>
      <c r="I347">
        <f t="shared" si="10"/>
        <v>2022</v>
      </c>
      <c r="J347">
        <f t="shared" si="11"/>
        <v>23</v>
      </c>
    </row>
    <row r="348" spans="1:10" x14ac:dyDescent="0.2">
      <c r="A348" t="s">
        <v>400</v>
      </c>
      <c r="B348" t="s">
        <v>120</v>
      </c>
      <c r="C348" t="s">
        <v>121</v>
      </c>
      <c r="D348" t="s">
        <v>464</v>
      </c>
      <c r="E348" s="1">
        <v>44729</v>
      </c>
      <c r="F348">
        <v>1750</v>
      </c>
      <c r="G348" t="s">
        <v>434</v>
      </c>
      <c r="H348" t="s">
        <v>339</v>
      </c>
      <c r="I348">
        <f t="shared" si="10"/>
        <v>2022</v>
      </c>
      <c r="J348">
        <f t="shared" si="11"/>
        <v>24</v>
      </c>
    </row>
    <row r="349" spans="1:10" x14ac:dyDescent="0.2">
      <c r="A349" t="s">
        <v>407</v>
      </c>
      <c r="B349" t="s">
        <v>120</v>
      </c>
      <c r="C349" t="s">
        <v>121</v>
      </c>
      <c r="D349" t="s">
        <v>464</v>
      </c>
      <c r="E349" s="1">
        <v>44736</v>
      </c>
      <c r="F349">
        <v>1210</v>
      </c>
      <c r="G349" t="s">
        <v>434</v>
      </c>
      <c r="H349" t="s">
        <v>339</v>
      </c>
      <c r="I349">
        <f t="shared" si="10"/>
        <v>2022</v>
      </c>
      <c r="J349">
        <f t="shared" si="11"/>
        <v>25</v>
      </c>
    </row>
    <row r="350" spans="1:10" x14ac:dyDescent="0.2">
      <c r="A350" t="s">
        <v>414</v>
      </c>
      <c r="B350" t="s">
        <v>120</v>
      </c>
      <c r="C350" t="s">
        <v>121</v>
      </c>
      <c r="D350" t="s">
        <v>464</v>
      </c>
      <c r="E350" s="1">
        <v>44743</v>
      </c>
      <c r="F350">
        <v>1070</v>
      </c>
      <c r="G350" t="s">
        <v>434</v>
      </c>
      <c r="H350" t="s">
        <v>339</v>
      </c>
      <c r="I350">
        <f t="shared" si="10"/>
        <v>2022</v>
      </c>
      <c r="J350">
        <f t="shared" si="11"/>
        <v>26</v>
      </c>
    </row>
    <row r="351" spans="1:10" x14ac:dyDescent="0.2">
      <c r="A351" t="s">
        <v>355</v>
      </c>
      <c r="B351" t="s">
        <v>120</v>
      </c>
      <c r="C351" t="s">
        <v>121</v>
      </c>
      <c r="D351" t="s">
        <v>464</v>
      </c>
      <c r="E351" s="1">
        <v>44750</v>
      </c>
      <c r="F351">
        <v>1080</v>
      </c>
      <c r="G351" t="s">
        <v>434</v>
      </c>
      <c r="H351" t="s">
        <v>339</v>
      </c>
      <c r="I351">
        <f t="shared" si="10"/>
        <v>2022</v>
      </c>
      <c r="J351">
        <f t="shared" si="11"/>
        <v>27</v>
      </c>
    </row>
    <row r="352" spans="1:10" x14ac:dyDescent="0.2">
      <c r="A352" t="s">
        <v>355</v>
      </c>
      <c r="B352" t="s">
        <v>120</v>
      </c>
      <c r="C352" t="s">
        <v>121</v>
      </c>
      <c r="D352" t="s">
        <v>464</v>
      </c>
      <c r="E352" s="1">
        <v>44757</v>
      </c>
      <c r="F352">
        <v>1560</v>
      </c>
      <c r="G352" t="s">
        <v>434</v>
      </c>
      <c r="H352" t="s">
        <v>339</v>
      </c>
      <c r="I352">
        <f t="shared" si="10"/>
        <v>2022</v>
      </c>
      <c r="J352">
        <f t="shared" si="11"/>
        <v>28</v>
      </c>
    </row>
    <row r="353" spans="1:10" x14ac:dyDescent="0.2">
      <c r="A353" t="s">
        <v>380</v>
      </c>
      <c r="B353" t="s">
        <v>120</v>
      </c>
      <c r="C353" t="s">
        <v>121</v>
      </c>
      <c r="D353" t="s">
        <v>464</v>
      </c>
      <c r="E353" s="1">
        <v>44764</v>
      </c>
      <c r="F353">
        <v>1680</v>
      </c>
      <c r="G353" t="s">
        <v>434</v>
      </c>
      <c r="H353" t="s">
        <v>339</v>
      </c>
      <c r="I353">
        <f t="shared" si="10"/>
        <v>2022</v>
      </c>
      <c r="J353">
        <f t="shared" si="11"/>
        <v>29</v>
      </c>
    </row>
    <row r="354" spans="1:10" x14ac:dyDescent="0.2">
      <c r="A354" t="s">
        <v>412</v>
      </c>
      <c r="B354" t="s">
        <v>120</v>
      </c>
      <c r="C354" t="s">
        <v>121</v>
      </c>
      <c r="D354" t="s">
        <v>464</v>
      </c>
      <c r="E354" s="1">
        <v>44771</v>
      </c>
      <c r="F354">
        <v>1090</v>
      </c>
      <c r="G354" t="s">
        <v>434</v>
      </c>
      <c r="H354" t="s">
        <v>339</v>
      </c>
      <c r="I354">
        <f t="shared" si="10"/>
        <v>2022</v>
      </c>
      <c r="J354">
        <f t="shared" si="11"/>
        <v>30</v>
      </c>
    </row>
    <row r="355" spans="1:10" x14ac:dyDescent="0.2">
      <c r="A355" t="s">
        <v>349</v>
      </c>
      <c r="B355" t="s">
        <v>120</v>
      </c>
      <c r="C355" t="s">
        <v>121</v>
      </c>
      <c r="D355" t="s">
        <v>464</v>
      </c>
      <c r="E355" s="1">
        <v>44778</v>
      </c>
      <c r="F355">
        <v>1360</v>
      </c>
      <c r="G355" t="s">
        <v>434</v>
      </c>
      <c r="H355" t="s">
        <v>339</v>
      </c>
      <c r="I355">
        <f t="shared" si="10"/>
        <v>2022</v>
      </c>
      <c r="J355">
        <f t="shared" si="11"/>
        <v>31</v>
      </c>
    </row>
    <row r="356" spans="1:10" x14ac:dyDescent="0.2">
      <c r="A356" t="s">
        <v>389</v>
      </c>
      <c r="B356" t="s">
        <v>120</v>
      </c>
      <c r="C356" t="s">
        <v>121</v>
      </c>
      <c r="D356" t="s">
        <v>464</v>
      </c>
      <c r="E356" s="1">
        <v>44785</v>
      </c>
      <c r="F356">
        <v>1720</v>
      </c>
      <c r="G356" t="s">
        <v>434</v>
      </c>
      <c r="H356" t="s">
        <v>339</v>
      </c>
      <c r="I356">
        <f t="shared" si="10"/>
        <v>2022</v>
      </c>
      <c r="J356">
        <f t="shared" si="11"/>
        <v>32</v>
      </c>
    </row>
    <row r="357" spans="1:10" x14ac:dyDescent="0.2">
      <c r="A357" t="s">
        <v>386</v>
      </c>
      <c r="B357" t="s">
        <v>120</v>
      </c>
      <c r="C357" t="s">
        <v>121</v>
      </c>
      <c r="D357" t="s">
        <v>464</v>
      </c>
      <c r="E357" s="1">
        <v>44792</v>
      </c>
      <c r="F357">
        <v>1130</v>
      </c>
      <c r="G357" t="s">
        <v>434</v>
      </c>
      <c r="H357" t="s">
        <v>339</v>
      </c>
      <c r="I357">
        <f t="shared" si="10"/>
        <v>2022</v>
      </c>
      <c r="J357">
        <f t="shared" si="11"/>
        <v>33</v>
      </c>
    </row>
    <row r="358" spans="1:10" x14ac:dyDescent="0.2">
      <c r="A358" t="s">
        <v>377</v>
      </c>
      <c r="B358" t="s">
        <v>120</v>
      </c>
      <c r="C358" t="s">
        <v>121</v>
      </c>
      <c r="D358" t="s">
        <v>464</v>
      </c>
      <c r="E358" s="1">
        <v>44799</v>
      </c>
      <c r="F358">
        <v>1730</v>
      </c>
      <c r="G358" t="s">
        <v>434</v>
      </c>
      <c r="H358" t="s">
        <v>339</v>
      </c>
      <c r="I358">
        <f t="shared" si="10"/>
        <v>2022</v>
      </c>
      <c r="J358">
        <f t="shared" si="11"/>
        <v>34</v>
      </c>
    </row>
    <row r="359" spans="1:10" x14ac:dyDescent="0.2">
      <c r="A359" t="s">
        <v>408</v>
      </c>
      <c r="B359" t="s">
        <v>120</v>
      </c>
      <c r="C359" t="s">
        <v>121</v>
      </c>
      <c r="D359" t="s">
        <v>464</v>
      </c>
      <c r="E359" s="1">
        <v>44806</v>
      </c>
      <c r="F359">
        <v>1240</v>
      </c>
      <c r="G359" t="s">
        <v>434</v>
      </c>
      <c r="H359" t="s">
        <v>339</v>
      </c>
      <c r="I359">
        <f t="shared" si="10"/>
        <v>2022</v>
      </c>
      <c r="J359">
        <f t="shared" si="11"/>
        <v>35</v>
      </c>
    </row>
    <row r="360" spans="1:10" x14ac:dyDescent="0.2">
      <c r="A360" t="s">
        <v>356</v>
      </c>
      <c r="B360" t="s">
        <v>120</v>
      </c>
      <c r="C360" t="s">
        <v>121</v>
      </c>
      <c r="D360" t="s">
        <v>464</v>
      </c>
      <c r="E360" s="1">
        <v>44813</v>
      </c>
      <c r="F360">
        <v>1640</v>
      </c>
      <c r="G360" t="s">
        <v>434</v>
      </c>
      <c r="H360" t="s">
        <v>339</v>
      </c>
      <c r="I360">
        <f t="shared" si="10"/>
        <v>2022</v>
      </c>
      <c r="J360">
        <f t="shared" si="11"/>
        <v>36</v>
      </c>
    </row>
    <row r="361" spans="1:10" x14ac:dyDescent="0.2">
      <c r="A361" t="s">
        <v>383</v>
      </c>
      <c r="B361" t="s">
        <v>120</v>
      </c>
      <c r="C361" t="s">
        <v>121</v>
      </c>
      <c r="D361" t="s">
        <v>464</v>
      </c>
      <c r="E361" s="1">
        <v>44820</v>
      </c>
      <c r="F361">
        <v>1080</v>
      </c>
      <c r="G361" t="s">
        <v>434</v>
      </c>
      <c r="H361" t="s">
        <v>339</v>
      </c>
      <c r="I361">
        <f t="shared" si="10"/>
        <v>2022</v>
      </c>
      <c r="J361">
        <f t="shared" si="11"/>
        <v>37</v>
      </c>
    </row>
    <row r="362" spans="1:10" x14ac:dyDescent="0.2">
      <c r="A362" t="s">
        <v>363</v>
      </c>
      <c r="B362" t="s">
        <v>120</v>
      </c>
      <c r="C362" t="s">
        <v>121</v>
      </c>
      <c r="D362" t="s">
        <v>464</v>
      </c>
      <c r="E362" s="1">
        <v>44827</v>
      </c>
      <c r="F362">
        <v>1600</v>
      </c>
      <c r="G362" t="s">
        <v>434</v>
      </c>
      <c r="H362" t="s">
        <v>339</v>
      </c>
      <c r="I362">
        <f t="shared" si="10"/>
        <v>2022</v>
      </c>
      <c r="J362">
        <f t="shared" si="11"/>
        <v>38</v>
      </c>
    </row>
    <row r="363" spans="1:10" x14ac:dyDescent="0.2">
      <c r="A363" t="s">
        <v>392</v>
      </c>
      <c r="B363" t="s">
        <v>120</v>
      </c>
      <c r="C363" t="s">
        <v>121</v>
      </c>
      <c r="D363" t="s">
        <v>464</v>
      </c>
      <c r="E363" s="1">
        <v>44834</v>
      </c>
      <c r="F363">
        <v>1560</v>
      </c>
      <c r="G363" t="s">
        <v>434</v>
      </c>
      <c r="H363" t="s">
        <v>339</v>
      </c>
      <c r="I363">
        <f t="shared" si="10"/>
        <v>2022</v>
      </c>
      <c r="J363">
        <f t="shared" si="11"/>
        <v>39</v>
      </c>
    </row>
    <row r="364" spans="1:10" x14ac:dyDescent="0.2">
      <c r="A364" t="s">
        <v>423</v>
      </c>
      <c r="B364" t="s">
        <v>120</v>
      </c>
      <c r="C364" t="s">
        <v>121</v>
      </c>
      <c r="D364" t="s">
        <v>464</v>
      </c>
      <c r="E364" s="1">
        <v>44841</v>
      </c>
      <c r="F364">
        <v>1370</v>
      </c>
      <c r="G364" t="s">
        <v>434</v>
      </c>
      <c r="H364" t="s">
        <v>339</v>
      </c>
      <c r="I364">
        <f t="shared" si="10"/>
        <v>2022</v>
      </c>
      <c r="J364">
        <f t="shared" si="11"/>
        <v>40</v>
      </c>
    </row>
    <row r="365" spans="1:10" x14ac:dyDescent="0.2">
      <c r="A365" t="s">
        <v>398</v>
      </c>
      <c r="B365" t="s">
        <v>120</v>
      </c>
      <c r="C365" t="s">
        <v>121</v>
      </c>
      <c r="D365" t="s">
        <v>464</v>
      </c>
      <c r="E365" s="1">
        <v>44848</v>
      </c>
      <c r="F365">
        <v>1650</v>
      </c>
      <c r="G365" t="s">
        <v>434</v>
      </c>
      <c r="H365" t="s">
        <v>339</v>
      </c>
      <c r="I365">
        <f t="shared" si="10"/>
        <v>2022</v>
      </c>
      <c r="J365">
        <f t="shared" si="11"/>
        <v>41</v>
      </c>
    </row>
    <row r="366" spans="1:10" x14ac:dyDescent="0.2">
      <c r="A366" t="s">
        <v>368</v>
      </c>
      <c r="B366" t="s">
        <v>120</v>
      </c>
      <c r="C366" t="s">
        <v>121</v>
      </c>
      <c r="D366" t="s">
        <v>464</v>
      </c>
      <c r="E366" s="1">
        <v>44855</v>
      </c>
      <c r="F366">
        <v>1390</v>
      </c>
      <c r="G366" t="s">
        <v>434</v>
      </c>
      <c r="H366" t="s">
        <v>339</v>
      </c>
      <c r="I366">
        <f t="shared" si="10"/>
        <v>2022</v>
      </c>
      <c r="J366">
        <f t="shared" si="11"/>
        <v>42</v>
      </c>
    </row>
    <row r="367" spans="1:10" x14ac:dyDescent="0.2">
      <c r="A367" t="s">
        <v>368</v>
      </c>
      <c r="B367" t="s">
        <v>120</v>
      </c>
      <c r="C367" t="s">
        <v>121</v>
      </c>
      <c r="D367" t="s">
        <v>464</v>
      </c>
      <c r="E367" s="1">
        <v>44862</v>
      </c>
      <c r="F367">
        <v>1790</v>
      </c>
      <c r="G367" t="s">
        <v>434</v>
      </c>
      <c r="H367" t="s">
        <v>339</v>
      </c>
      <c r="I367">
        <f t="shared" si="10"/>
        <v>2022</v>
      </c>
      <c r="J367">
        <f t="shared" si="11"/>
        <v>43</v>
      </c>
    </row>
    <row r="368" spans="1:10" x14ac:dyDescent="0.2">
      <c r="A368" t="s">
        <v>427</v>
      </c>
      <c r="B368" t="s">
        <v>120</v>
      </c>
      <c r="C368" t="s">
        <v>121</v>
      </c>
      <c r="D368" t="s">
        <v>464</v>
      </c>
      <c r="E368" s="1">
        <v>44869</v>
      </c>
      <c r="F368">
        <v>1860</v>
      </c>
      <c r="G368" t="s">
        <v>434</v>
      </c>
      <c r="H368" t="s">
        <v>339</v>
      </c>
      <c r="I368">
        <f t="shared" si="10"/>
        <v>2022</v>
      </c>
      <c r="J368">
        <f t="shared" si="11"/>
        <v>44</v>
      </c>
    </row>
    <row r="369" spans="1:10" x14ac:dyDescent="0.2">
      <c r="A369" t="s">
        <v>354</v>
      </c>
      <c r="B369" t="s">
        <v>120</v>
      </c>
      <c r="C369" t="s">
        <v>121</v>
      </c>
      <c r="D369" t="s">
        <v>464</v>
      </c>
      <c r="E369" s="1">
        <v>44876</v>
      </c>
      <c r="F369">
        <v>1270</v>
      </c>
      <c r="G369" t="s">
        <v>434</v>
      </c>
      <c r="H369" t="s">
        <v>339</v>
      </c>
      <c r="I369">
        <f t="shared" si="10"/>
        <v>2022</v>
      </c>
      <c r="J369">
        <f t="shared" si="11"/>
        <v>45</v>
      </c>
    </row>
    <row r="370" spans="1:10" x14ac:dyDescent="0.2">
      <c r="A370" t="s">
        <v>350</v>
      </c>
      <c r="B370" t="s">
        <v>120</v>
      </c>
      <c r="C370" t="s">
        <v>121</v>
      </c>
      <c r="D370" t="s">
        <v>464</v>
      </c>
      <c r="E370" s="1">
        <v>44883</v>
      </c>
      <c r="F370">
        <v>1220</v>
      </c>
      <c r="G370" t="s">
        <v>434</v>
      </c>
      <c r="H370" t="s">
        <v>339</v>
      </c>
      <c r="I370">
        <f t="shared" si="10"/>
        <v>2022</v>
      </c>
      <c r="J370">
        <f t="shared" si="11"/>
        <v>46</v>
      </c>
    </row>
    <row r="371" spans="1:10" x14ac:dyDescent="0.2">
      <c r="A371" t="s">
        <v>409</v>
      </c>
      <c r="B371" t="s">
        <v>120</v>
      </c>
      <c r="C371" t="s">
        <v>121</v>
      </c>
      <c r="D371" t="s">
        <v>464</v>
      </c>
      <c r="E371" s="1">
        <v>44890</v>
      </c>
      <c r="F371">
        <v>1790</v>
      </c>
      <c r="G371" t="s">
        <v>434</v>
      </c>
      <c r="H371" t="s">
        <v>339</v>
      </c>
      <c r="I371">
        <f t="shared" si="10"/>
        <v>2022</v>
      </c>
      <c r="J371">
        <f t="shared" si="11"/>
        <v>47</v>
      </c>
    </row>
    <row r="372" spans="1:10" x14ac:dyDescent="0.2">
      <c r="A372" t="s">
        <v>341</v>
      </c>
      <c r="B372" t="s">
        <v>120</v>
      </c>
      <c r="C372" t="s">
        <v>121</v>
      </c>
      <c r="D372" t="s">
        <v>464</v>
      </c>
      <c r="E372" s="1">
        <v>44897</v>
      </c>
      <c r="F372">
        <v>1040</v>
      </c>
      <c r="G372" t="s">
        <v>434</v>
      </c>
      <c r="H372" t="s">
        <v>339</v>
      </c>
      <c r="I372">
        <f t="shared" si="10"/>
        <v>2022</v>
      </c>
      <c r="J372">
        <f t="shared" si="11"/>
        <v>48</v>
      </c>
    </row>
    <row r="373" spans="1:10" x14ac:dyDescent="0.2">
      <c r="A373" t="s">
        <v>382</v>
      </c>
      <c r="B373" t="s">
        <v>120</v>
      </c>
      <c r="C373" t="s">
        <v>121</v>
      </c>
      <c r="D373" t="s">
        <v>464</v>
      </c>
      <c r="E373" s="1">
        <v>44904</v>
      </c>
      <c r="F373">
        <v>1090</v>
      </c>
      <c r="G373" t="s">
        <v>434</v>
      </c>
      <c r="H373" t="s">
        <v>339</v>
      </c>
      <c r="I373">
        <f t="shared" si="10"/>
        <v>2022</v>
      </c>
      <c r="J373">
        <f t="shared" si="11"/>
        <v>49</v>
      </c>
    </row>
    <row r="374" spans="1:10" x14ac:dyDescent="0.2">
      <c r="A374" t="s">
        <v>357</v>
      </c>
      <c r="B374" t="s">
        <v>120</v>
      </c>
      <c r="C374" t="s">
        <v>121</v>
      </c>
      <c r="D374" t="s">
        <v>464</v>
      </c>
      <c r="E374" s="1">
        <v>44911</v>
      </c>
      <c r="F374">
        <v>1490</v>
      </c>
      <c r="G374" t="s">
        <v>434</v>
      </c>
      <c r="H374" t="s">
        <v>339</v>
      </c>
      <c r="I374">
        <f t="shared" si="10"/>
        <v>2022</v>
      </c>
      <c r="J374">
        <f t="shared" si="11"/>
        <v>50</v>
      </c>
    </row>
    <row r="375" spans="1:10" x14ac:dyDescent="0.2">
      <c r="A375" t="s">
        <v>353</v>
      </c>
      <c r="B375" t="s">
        <v>120</v>
      </c>
      <c r="C375" t="s">
        <v>121</v>
      </c>
      <c r="D375" t="s">
        <v>464</v>
      </c>
      <c r="E375" s="1">
        <v>44918</v>
      </c>
      <c r="F375">
        <v>1220</v>
      </c>
      <c r="G375" t="s">
        <v>434</v>
      </c>
      <c r="H375" t="s">
        <v>339</v>
      </c>
      <c r="I375">
        <f t="shared" si="10"/>
        <v>2022</v>
      </c>
      <c r="J375">
        <f t="shared" si="11"/>
        <v>51</v>
      </c>
    </row>
    <row r="376" spans="1:10" x14ac:dyDescent="0.2">
      <c r="A376" t="s">
        <v>410</v>
      </c>
      <c r="B376" t="s">
        <v>120</v>
      </c>
      <c r="C376" t="s">
        <v>121</v>
      </c>
      <c r="D376" t="s">
        <v>464</v>
      </c>
      <c r="E376" s="1">
        <v>44925</v>
      </c>
      <c r="F376">
        <v>1660</v>
      </c>
      <c r="G376" t="s">
        <v>434</v>
      </c>
      <c r="H376" t="s">
        <v>339</v>
      </c>
      <c r="I376">
        <f t="shared" si="10"/>
        <v>2022</v>
      </c>
      <c r="J376">
        <f t="shared" si="11"/>
        <v>52</v>
      </c>
    </row>
    <row r="377" spans="1:10" x14ac:dyDescent="0.2">
      <c r="A377" t="s">
        <v>379</v>
      </c>
      <c r="B377" t="s">
        <v>120</v>
      </c>
      <c r="C377" t="s">
        <v>121</v>
      </c>
      <c r="D377" t="s">
        <v>464</v>
      </c>
      <c r="E377" s="1">
        <v>44932</v>
      </c>
      <c r="F377">
        <v>1960</v>
      </c>
      <c r="G377" t="s">
        <v>434</v>
      </c>
      <c r="H377" t="s">
        <v>339</v>
      </c>
      <c r="I377">
        <f t="shared" si="10"/>
        <v>2023</v>
      </c>
      <c r="J377">
        <f t="shared" si="11"/>
        <v>1</v>
      </c>
    </row>
    <row r="378" spans="1:10" x14ac:dyDescent="0.2">
      <c r="A378" t="s">
        <v>419</v>
      </c>
      <c r="B378" t="s">
        <v>120</v>
      </c>
      <c r="C378" t="s">
        <v>121</v>
      </c>
      <c r="D378" t="s">
        <v>464</v>
      </c>
      <c r="E378" s="1">
        <v>44939</v>
      </c>
      <c r="F378">
        <v>1680</v>
      </c>
      <c r="G378" t="s">
        <v>434</v>
      </c>
      <c r="H378" t="s">
        <v>339</v>
      </c>
      <c r="I378">
        <f t="shared" ref="I378:I391" si="12">YEAR(E378)</f>
        <v>2023</v>
      </c>
      <c r="J378">
        <f t="shared" ref="J378:J391" si="13">_xlfn.ISOWEEKNUM(E378)</f>
        <v>2</v>
      </c>
    </row>
    <row r="379" spans="1:10" x14ac:dyDescent="0.2">
      <c r="A379" t="s">
        <v>375</v>
      </c>
      <c r="B379" t="s">
        <v>120</v>
      </c>
      <c r="C379" t="s">
        <v>121</v>
      </c>
      <c r="D379" t="s">
        <v>464</v>
      </c>
      <c r="E379" s="1">
        <v>44946</v>
      </c>
      <c r="F379">
        <v>1080</v>
      </c>
      <c r="G379" t="s">
        <v>434</v>
      </c>
      <c r="H379" t="s">
        <v>339</v>
      </c>
      <c r="I379">
        <f t="shared" si="12"/>
        <v>2023</v>
      </c>
      <c r="J379">
        <f t="shared" si="13"/>
        <v>3</v>
      </c>
    </row>
    <row r="380" spans="1:10" x14ac:dyDescent="0.2">
      <c r="A380" t="s">
        <v>428</v>
      </c>
      <c r="B380" t="s">
        <v>120</v>
      </c>
      <c r="C380" t="s">
        <v>121</v>
      </c>
      <c r="D380" t="s">
        <v>464</v>
      </c>
      <c r="E380" s="1">
        <v>44953</v>
      </c>
      <c r="F380">
        <v>2000</v>
      </c>
      <c r="G380" t="s">
        <v>434</v>
      </c>
      <c r="H380" t="s">
        <v>339</v>
      </c>
      <c r="I380">
        <f t="shared" si="12"/>
        <v>2023</v>
      </c>
      <c r="J380">
        <f t="shared" si="13"/>
        <v>4</v>
      </c>
    </row>
    <row r="381" spans="1:10" x14ac:dyDescent="0.2">
      <c r="A381" t="s">
        <v>415</v>
      </c>
      <c r="B381" t="s">
        <v>120</v>
      </c>
      <c r="C381" t="s">
        <v>121</v>
      </c>
      <c r="D381" t="s">
        <v>464</v>
      </c>
      <c r="E381" s="1">
        <v>44960</v>
      </c>
      <c r="F381">
        <v>1730</v>
      </c>
      <c r="G381" t="s">
        <v>434</v>
      </c>
      <c r="H381" t="s">
        <v>339</v>
      </c>
      <c r="I381">
        <f t="shared" si="12"/>
        <v>2023</v>
      </c>
      <c r="J381">
        <f t="shared" si="13"/>
        <v>5</v>
      </c>
    </row>
    <row r="382" spans="1:10" x14ac:dyDescent="0.2">
      <c r="A382" t="s">
        <v>345</v>
      </c>
      <c r="B382" t="s">
        <v>120</v>
      </c>
      <c r="C382" t="s">
        <v>121</v>
      </c>
      <c r="D382" t="s">
        <v>464</v>
      </c>
      <c r="E382" s="1">
        <v>44967</v>
      </c>
      <c r="F382">
        <v>1680</v>
      </c>
      <c r="G382" t="s">
        <v>434</v>
      </c>
      <c r="H382" t="s">
        <v>339</v>
      </c>
      <c r="I382">
        <f t="shared" si="12"/>
        <v>2023</v>
      </c>
      <c r="J382">
        <f t="shared" si="13"/>
        <v>6</v>
      </c>
    </row>
    <row r="383" spans="1:10" x14ac:dyDescent="0.2">
      <c r="A383" t="s">
        <v>352</v>
      </c>
      <c r="B383" t="s">
        <v>120</v>
      </c>
      <c r="C383" t="s">
        <v>121</v>
      </c>
      <c r="D383" t="s">
        <v>464</v>
      </c>
      <c r="E383" s="1">
        <v>44974</v>
      </c>
      <c r="F383">
        <v>1350</v>
      </c>
      <c r="G383" t="s">
        <v>434</v>
      </c>
      <c r="H383" t="s">
        <v>339</v>
      </c>
      <c r="I383">
        <f t="shared" si="12"/>
        <v>2023</v>
      </c>
      <c r="J383">
        <f t="shared" si="13"/>
        <v>7</v>
      </c>
    </row>
    <row r="384" spans="1:10" x14ac:dyDescent="0.2">
      <c r="A384" t="s">
        <v>416</v>
      </c>
      <c r="B384" t="s">
        <v>120</v>
      </c>
      <c r="C384" t="s">
        <v>121</v>
      </c>
      <c r="D384" t="s">
        <v>464</v>
      </c>
      <c r="E384" s="1">
        <v>44981</v>
      </c>
      <c r="F384">
        <v>1750</v>
      </c>
      <c r="G384" t="s">
        <v>434</v>
      </c>
      <c r="H384" t="s">
        <v>339</v>
      </c>
      <c r="I384">
        <f t="shared" si="12"/>
        <v>2023</v>
      </c>
      <c r="J384">
        <f t="shared" si="13"/>
        <v>8</v>
      </c>
    </row>
    <row r="385" spans="1:10" x14ac:dyDescent="0.2">
      <c r="A385" t="s">
        <v>373</v>
      </c>
      <c r="B385" t="s">
        <v>120</v>
      </c>
      <c r="C385" t="s">
        <v>121</v>
      </c>
      <c r="D385" t="s">
        <v>464</v>
      </c>
      <c r="E385" s="1">
        <v>44988</v>
      </c>
      <c r="F385">
        <v>1500</v>
      </c>
      <c r="G385" t="s">
        <v>434</v>
      </c>
      <c r="H385" t="s">
        <v>339</v>
      </c>
      <c r="I385">
        <f t="shared" si="12"/>
        <v>2023</v>
      </c>
      <c r="J385">
        <f t="shared" si="13"/>
        <v>9</v>
      </c>
    </row>
    <row r="386" spans="1:10" x14ac:dyDescent="0.2">
      <c r="A386" t="s">
        <v>397</v>
      </c>
      <c r="B386" t="s">
        <v>120</v>
      </c>
      <c r="C386" t="s">
        <v>121</v>
      </c>
      <c r="D386" t="s">
        <v>464</v>
      </c>
      <c r="E386" s="1">
        <v>44995</v>
      </c>
      <c r="F386">
        <v>1300</v>
      </c>
      <c r="G386" t="s">
        <v>434</v>
      </c>
      <c r="H386" t="s">
        <v>339</v>
      </c>
      <c r="I386">
        <f t="shared" si="12"/>
        <v>2023</v>
      </c>
      <c r="J386">
        <f t="shared" si="13"/>
        <v>10</v>
      </c>
    </row>
    <row r="387" spans="1:10" x14ac:dyDescent="0.2">
      <c r="A387" t="s">
        <v>395</v>
      </c>
      <c r="B387" t="s">
        <v>120</v>
      </c>
      <c r="C387" t="s">
        <v>121</v>
      </c>
      <c r="D387" t="s">
        <v>464</v>
      </c>
      <c r="E387" s="1">
        <v>45002</v>
      </c>
      <c r="F387">
        <v>1970</v>
      </c>
      <c r="G387" t="s">
        <v>434</v>
      </c>
      <c r="H387" t="s">
        <v>339</v>
      </c>
      <c r="I387">
        <f t="shared" si="12"/>
        <v>2023</v>
      </c>
      <c r="J387">
        <f t="shared" si="13"/>
        <v>11</v>
      </c>
    </row>
    <row r="388" spans="1:10" x14ac:dyDescent="0.2">
      <c r="A388" t="s">
        <v>430</v>
      </c>
      <c r="B388" t="s">
        <v>120</v>
      </c>
      <c r="C388" t="s">
        <v>121</v>
      </c>
      <c r="D388" t="s">
        <v>464</v>
      </c>
      <c r="E388" s="1">
        <v>45009</v>
      </c>
      <c r="F388">
        <v>1950</v>
      </c>
      <c r="G388" t="s">
        <v>434</v>
      </c>
      <c r="H388" t="s">
        <v>339</v>
      </c>
      <c r="I388">
        <f t="shared" si="12"/>
        <v>2023</v>
      </c>
      <c r="J388">
        <f t="shared" si="13"/>
        <v>12</v>
      </c>
    </row>
    <row r="389" spans="1:10" x14ac:dyDescent="0.2">
      <c r="A389" t="s">
        <v>362</v>
      </c>
      <c r="B389" t="s">
        <v>120</v>
      </c>
      <c r="C389" t="s">
        <v>121</v>
      </c>
      <c r="D389" t="s">
        <v>464</v>
      </c>
      <c r="E389" s="1">
        <v>45016</v>
      </c>
      <c r="F389">
        <v>1660</v>
      </c>
      <c r="G389" t="s">
        <v>434</v>
      </c>
      <c r="H389" t="s">
        <v>339</v>
      </c>
      <c r="I389">
        <f t="shared" si="12"/>
        <v>2023</v>
      </c>
      <c r="J389">
        <f t="shared" si="13"/>
        <v>13</v>
      </c>
    </row>
    <row r="390" spans="1:10" x14ac:dyDescent="0.2">
      <c r="A390" t="s">
        <v>370</v>
      </c>
      <c r="B390" t="s">
        <v>120</v>
      </c>
      <c r="C390" t="s">
        <v>121</v>
      </c>
      <c r="D390" t="s">
        <v>464</v>
      </c>
      <c r="E390" s="1">
        <v>45023</v>
      </c>
      <c r="F390">
        <v>1960</v>
      </c>
      <c r="G390" t="s">
        <v>434</v>
      </c>
      <c r="H390" t="s">
        <v>339</v>
      </c>
      <c r="I390">
        <f t="shared" si="12"/>
        <v>2023</v>
      </c>
      <c r="J390">
        <f t="shared" si="13"/>
        <v>14</v>
      </c>
    </row>
    <row r="391" spans="1:10" x14ac:dyDescent="0.2">
      <c r="A391" t="s">
        <v>393</v>
      </c>
      <c r="B391" t="s">
        <v>120</v>
      </c>
      <c r="C391" t="s">
        <v>121</v>
      </c>
      <c r="D391" t="s">
        <v>464</v>
      </c>
      <c r="E391" s="1">
        <v>45030</v>
      </c>
      <c r="F391">
        <v>1460</v>
      </c>
      <c r="G391" t="s">
        <v>434</v>
      </c>
      <c r="H391" t="s">
        <v>339</v>
      </c>
      <c r="I391">
        <f t="shared" si="12"/>
        <v>2023</v>
      </c>
      <c r="J391">
        <f t="shared" si="13"/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6304-4BBF-401F-8BA9-11E62EA9F5C5}">
  <dimension ref="A1:V4"/>
  <sheetViews>
    <sheetView workbookViewId="0">
      <selection activeCell="E6" sqref="E6"/>
    </sheetView>
  </sheetViews>
  <sheetFormatPr baseColWidth="10" defaultColWidth="8.83203125" defaultRowHeight="15" x14ac:dyDescent="0.2"/>
  <cols>
    <col min="2" max="2" width="12.5" bestFit="1" customWidth="1"/>
    <col min="3" max="3" width="9.83203125" bestFit="1" customWidth="1"/>
    <col min="4" max="4" width="28.1640625" bestFit="1" customWidth="1"/>
    <col min="5" max="22" width="5.83203125" bestFit="1" customWidth="1"/>
  </cols>
  <sheetData>
    <row r="1" spans="1:22" ht="51" x14ac:dyDescent="0.2">
      <c r="A1" t="s">
        <v>451</v>
      </c>
      <c r="B1" t="s">
        <v>450</v>
      </c>
      <c r="C1" t="s">
        <v>463</v>
      </c>
      <c r="D1" t="s">
        <v>465</v>
      </c>
      <c r="E1" s="10">
        <v>45033</v>
      </c>
      <c r="F1" s="7">
        <f>E1+7</f>
        <v>45040</v>
      </c>
      <c r="G1" s="7">
        <f t="shared" ref="G1:V1" si="0">F1+7</f>
        <v>45047</v>
      </c>
      <c r="H1" s="7">
        <f t="shared" si="0"/>
        <v>45054</v>
      </c>
      <c r="I1" s="7">
        <f t="shared" si="0"/>
        <v>45061</v>
      </c>
      <c r="J1" s="7">
        <f t="shared" si="0"/>
        <v>45068</v>
      </c>
      <c r="K1" s="7">
        <f t="shared" si="0"/>
        <v>45075</v>
      </c>
      <c r="L1" s="7">
        <f t="shared" si="0"/>
        <v>45082</v>
      </c>
      <c r="M1" s="7">
        <f t="shared" si="0"/>
        <v>45089</v>
      </c>
      <c r="N1" s="7">
        <f t="shared" si="0"/>
        <v>45096</v>
      </c>
      <c r="O1" s="7">
        <f t="shared" si="0"/>
        <v>45103</v>
      </c>
      <c r="P1" s="7">
        <f t="shared" si="0"/>
        <v>45110</v>
      </c>
      <c r="Q1" s="7">
        <f t="shared" si="0"/>
        <v>45117</v>
      </c>
      <c r="R1" s="7">
        <f t="shared" si="0"/>
        <v>45124</v>
      </c>
      <c r="S1" s="7">
        <f t="shared" si="0"/>
        <v>45131</v>
      </c>
      <c r="T1" s="7">
        <f t="shared" si="0"/>
        <v>45138</v>
      </c>
      <c r="U1" s="7">
        <f t="shared" si="0"/>
        <v>45145</v>
      </c>
      <c r="V1" s="7">
        <f t="shared" si="0"/>
        <v>45152</v>
      </c>
    </row>
    <row r="2" spans="1:22" x14ac:dyDescent="0.2">
      <c r="A2" t="s">
        <v>120</v>
      </c>
      <c r="B2" t="s">
        <v>121</v>
      </c>
      <c r="C2" t="s">
        <v>471</v>
      </c>
      <c r="D2" t="s">
        <v>469</v>
      </c>
      <c r="E2" s="9">
        <v>375</v>
      </c>
    </row>
    <row r="3" spans="1:22" x14ac:dyDescent="0.2">
      <c r="A3" t="s">
        <v>120</v>
      </c>
      <c r="B3" t="s">
        <v>121</v>
      </c>
      <c r="C3" t="s">
        <v>471</v>
      </c>
      <c r="D3" t="s">
        <v>470</v>
      </c>
      <c r="E3" s="9">
        <v>15000</v>
      </c>
      <c r="F3">
        <v>15000</v>
      </c>
      <c r="G3">
        <v>15000</v>
      </c>
      <c r="H3">
        <v>15000</v>
      </c>
      <c r="I3">
        <v>15000</v>
      </c>
      <c r="J3">
        <v>15000</v>
      </c>
      <c r="K3">
        <v>15000</v>
      </c>
      <c r="L3">
        <v>15000</v>
      </c>
      <c r="M3">
        <v>15000</v>
      </c>
      <c r="N3">
        <v>15000</v>
      </c>
      <c r="O3">
        <v>15000</v>
      </c>
      <c r="P3">
        <v>15000</v>
      </c>
      <c r="Q3">
        <v>15000</v>
      </c>
      <c r="R3">
        <v>15000</v>
      </c>
      <c r="S3">
        <v>15000</v>
      </c>
      <c r="T3">
        <v>15000</v>
      </c>
      <c r="U3">
        <v>15000</v>
      </c>
      <c r="V3">
        <v>15000</v>
      </c>
    </row>
    <row r="4" spans="1:22" x14ac:dyDescent="0.2">
      <c r="A4" t="s">
        <v>120</v>
      </c>
      <c r="B4" t="s">
        <v>121</v>
      </c>
      <c r="C4" t="s">
        <v>471</v>
      </c>
      <c r="D4" t="s">
        <v>491</v>
      </c>
      <c r="E4" s="9">
        <f t="shared" ref="E4:V4" si="1">SUM(E2+E3)</f>
        <v>15375</v>
      </c>
      <c r="F4">
        <f t="shared" si="1"/>
        <v>15000</v>
      </c>
      <c r="G4">
        <f t="shared" si="1"/>
        <v>15000</v>
      </c>
      <c r="H4">
        <f t="shared" si="1"/>
        <v>15000</v>
      </c>
      <c r="I4">
        <f t="shared" si="1"/>
        <v>15000</v>
      </c>
      <c r="J4">
        <f t="shared" si="1"/>
        <v>15000</v>
      </c>
      <c r="K4">
        <f t="shared" si="1"/>
        <v>15000</v>
      </c>
      <c r="L4">
        <f t="shared" si="1"/>
        <v>15000</v>
      </c>
      <c r="M4">
        <f t="shared" si="1"/>
        <v>15000</v>
      </c>
      <c r="N4">
        <f t="shared" si="1"/>
        <v>15000</v>
      </c>
      <c r="O4">
        <f t="shared" si="1"/>
        <v>15000</v>
      </c>
      <c r="P4">
        <f t="shared" si="1"/>
        <v>15000</v>
      </c>
      <c r="Q4">
        <f t="shared" si="1"/>
        <v>15000</v>
      </c>
      <c r="R4">
        <f t="shared" si="1"/>
        <v>15000</v>
      </c>
      <c r="S4">
        <f t="shared" si="1"/>
        <v>15000</v>
      </c>
      <c r="T4">
        <f t="shared" si="1"/>
        <v>15000</v>
      </c>
      <c r="U4">
        <f t="shared" si="1"/>
        <v>15000</v>
      </c>
      <c r="V4">
        <f t="shared" si="1"/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D8E6-3E31-47F8-8713-D769DED15DEC}">
  <dimension ref="A1:X5"/>
  <sheetViews>
    <sheetView workbookViewId="0">
      <selection activeCell="F4" sqref="F4"/>
    </sheetView>
  </sheetViews>
  <sheetFormatPr baseColWidth="10" defaultColWidth="8.83203125" defaultRowHeight="15" x14ac:dyDescent="0.2"/>
  <cols>
    <col min="2" max="2" width="12.5" bestFit="1" customWidth="1"/>
    <col min="3" max="3" width="9.83203125" bestFit="1" customWidth="1"/>
    <col min="4" max="4" width="13.6640625" bestFit="1" customWidth="1"/>
    <col min="5" max="5" width="13.5" bestFit="1" customWidth="1"/>
    <col min="6" max="6" width="4.83203125" bestFit="1" customWidth="1"/>
    <col min="7" max="7" width="7.83203125" bestFit="1" customWidth="1"/>
    <col min="8" max="24" width="4.83203125" bestFit="1" customWidth="1"/>
  </cols>
  <sheetData>
    <row r="1" spans="1:24" ht="51" x14ac:dyDescent="0.2">
      <c r="A1" t="s">
        <v>451</v>
      </c>
      <c r="B1" t="s">
        <v>450</v>
      </c>
      <c r="C1" t="s">
        <v>463</v>
      </c>
      <c r="D1" t="s">
        <v>4</v>
      </c>
      <c r="E1" t="s">
        <v>5</v>
      </c>
      <c r="F1" s="8">
        <f>G1-7</f>
        <v>45026</v>
      </c>
      <c r="G1" s="8">
        <v>45033</v>
      </c>
      <c r="H1" s="7">
        <f>G1+7</f>
        <v>45040</v>
      </c>
      <c r="I1" s="7">
        <f t="shared" ref="I1:X1" si="0">H1+7</f>
        <v>45047</v>
      </c>
      <c r="J1" s="7">
        <f t="shared" si="0"/>
        <v>45054</v>
      </c>
      <c r="K1" s="7">
        <f t="shared" si="0"/>
        <v>45061</v>
      </c>
      <c r="L1" s="7">
        <f t="shared" si="0"/>
        <v>45068</v>
      </c>
      <c r="M1" s="7">
        <f t="shared" si="0"/>
        <v>45075</v>
      </c>
      <c r="N1" s="7">
        <f t="shared" si="0"/>
        <v>45082</v>
      </c>
      <c r="O1" s="7">
        <f t="shared" si="0"/>
        <v>45089</v>
      </c>
      <c r="P1" s="7">
        <f t="shared" si="0"/>
        <v>45096</v>
      </c>
      <c r="Q1" s="7">
        <f t="shared" si="0"/>
        <v>45103</v>
      </c>
      <c r="R1" s="7">
        <f t="shared" si="0"/>
        <v>45110</v>
      </c>
      <c r="S1" s="7">
        <f t="shared" si="0"/>
        <v>45117</v>
      </c>
      <c r="T1" s="7">
        <f t="shared" si="0"/>
        <v>45124</v>
      </c>
      <c r="U1" s="7">
        <f t="shared" si="0"/>
        <v>45131</v>
      </c>
      <c r="V1" s="7">
        <f t="shared" si="0"/>
        <v>45138</v>
      </c>
      <c r="W1" s="7">
        <f t="shared" si="0"/>
        <v>45145</v>
      </c>
      <c r="X1" s="7">
        <f t="shared" si="0"/>
        <v>45152</v>
      </c>
    </row>
    <row r="2" spans="1:24" x14ac:dyDescent="0.2">
      <c r="A2" t="s">
        <v>120</v>
      </c>
      <c r="B2" t="s">
        <v>121</v>
      </c>
      <c r="C2" t="s">
        <v>471</v>
      </c>
      <c r="D2" t="s">
        <v>119</v>
      </c>
      <c r="E2" t="s">
        <v>436</v>
      </c>
      <c r="F2">
        <v>0.22</v>
      </c>
      <c r="G2">
        <v>0.22</v>
      </c>
      <c r="H2">
        <v>0.22</v>
      </c>
      <c r="I2">
        <v>0.22</v>
      </c>
      <c r="J2">
        <v>0.22</v>
      </c>
      <c r="K2">
        <v>0.22</v>
      </c>
      <c r="L2">
        <v>0.22</v>
      </c>
      <c r="M2">
        <v>0.22</v>
      </c>
      <c r="N2">
        <v>0.22</v>
      </c>
      <c r="O2">
        <v>0.22</v>
      </c>
      <c r="P2">
        <v>0.22</v>
      </c>
      <c r="Q2">
        <v>0.22</v>
      </c>
      <c r="R2">
        <v>0.22</v>
      </c>
      <c r="S2">
        <v>0.22</v>
      </c>
      <c r="T2">
        <v>0.22</v>
      </c>
      <c r="U2">
        <v>0.22</v>
      </c>
      <c r="V2">
        <v>0.22</v>
      </c>
      <c r="W2">
        <v>0.22</v>
      </c>
      <c r="X2">
        <v>0.22</v>
      </c>
    </row>
    <row r="3" spans="1:24" x14ac:dyDescent="0.2">
      <c r="A3" t="s">
        <v>120</v>
      </c>
      <c r="B3" t="s">
        <v>121</v>
      </c>
      <c r="C3" t="s">
        <v>471</v>
      </c>
      <c r="D3" t="s">
        <v>240</v>
      </c>
      <c r="E3" t="s">
        <v>241</v>
      </c>
      <c r="F3">
        <v>0.28000000000000003</v>
      </c>
      <c r="G3">
        <v>0.28000000000000003</v>
      </c>
      <c r="H3">
        <v>0.28000000000000003</v>
      </c>
      <c r="I3">
        <v>0.28000000000000003</v>
      </c>
      <c r="J3">
        <v>0.28000000000000003</v>
      </c>
      <c r="K3">
        <v>0.28000000000000003</v>
      </c>
      <c r="L3">
        <v>0.28000000000000003</v>
      </c>
      <c r="M3">
        <v>0.28000000000000003</v>
      </c>
      <c r="N3">
        <v>0.28000000000000003</v>
      </c>
      <c r="O3">
        <v>0.28000000000000003</v>
      </c>
      <c r="P3">
        <v>0.28000000000000003</v>
      </c>
      <c r="Q3">
        <v>0.28000000000000003</v>
      </c>
      <c r="R3">
        <v>0.28000000000000003</v>
      </c>
      <c r="S3">
        <v>0.28000000000000003</v>
      </c>
      <c r="T3">
        <v>0.28000000000000003</v>
      </c>
      <c r="U3">
        <v>0.28000000000000003</v>
      </c>
      <c r="V3">
        <v>0.28000000000000003</v>
      </c>
      <c r="W3">
        <v>0.28000000000000003</v>
      </c>
      <c r="X3">
        <v>0.28000000000000003</v>
      </c>
    </row>
    <row r="4" spans="1:24" x14ac:dyDescent="0.2">
      <c r="A4" t="s">
        <v>120</v>
      </c>
      <c r="B4" t="s">
        <v>121</v>
      </c>
      <c r="C4" t="s">
        <v>471</v>
      </c>
      <c r="D4" t="s">
        <v>242</v>
      </c>
      <c r="E4" t="s">
        <v>243</v>
      </c>
      <c r="F4">
        <v>0.4</v>
      </c>
      <c r="G4">
        <v>0.4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0.4</v>
      </c>
      <c r="R4">
        <v>0.4</v>
      </c>
      <c r="S4">
        <v>0.4</v>
      </c>
      <c r="T4">
        <v>0.4</v>
      </c>
      <c r="U4">
        <v>0.4</v>
      </c>
      <c r="V4">
        <v>0.4</v>
      </c>
      <c r="W4">
        <v>0.4</v>
      </c>
      <c r="X4">
        <v>0.4</v>
      </c>
    </row>
    <row r="5" spans="1:24" x14ac:dyDescent="0.2">
      <c r="A5" t="s">
        <v>120</v>
      </c>
      <c r="B5" t="s">
        <v>121</v>
      </c>
      <c r="C5" t="s">
        <v>471</v>
      </c>
      <c r="D5" t="s">
        <v>434</v>
      </c>
      <c r="E5" t="s">
        <v>339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4FD2-D2D6-4EBD-B459-D96070F40284}">
  <dimension ref="A1:W94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9.6640625" bestFit="1" customWidth="1"/>
    <col min="2" max="2" width="17.5" bestFit="1" customWidth="1"/>
    <col min="3" max="3" width="5.83203125" customWidth="1"/>
    <col min="4" max="5" width="4.83203125" bestFit="1" customWidth="1"/>
    <col min="6" max="20" width="5.83203125" style="6" bestFit="1" customWidth="1"/>
    <col min="21" max="23" width="5.83203125" bestFit="1" customWidth="1"/>
  </cols>
  <sheetData>
    <row r="1" spans="1:23" ht="77" customHeight="1" x14ac:dyDescent="0.2">
      <c r="A1" t="s">
        <v>451</v>
      </c>
      <c r="B1" t="s">
        <v>450</v>
      </c>
      <c r="C1" s="8">
        <v>45026</v>
      </c>
      <c r="D1" s="8">
        <v>45027</v>
      </c>
      <c r="E1" s="8">
        <v>45028</v>
      </c>
      <c r="F1" s="8">
        <v>45029</v>
      </c>
      <c r="G1" s="8">
        <v>45030</v>
      </c>
      <c r="H1" s="8">
        <v>45031</v>
      </c>
      <c r="I1" s="8">
        <v>45032</v>
      </c>
      <c r="J1" s="8">
        <v>45033</v>
      </c>
      <c r="K1" s="8">
        <v>45034</v>
      </c>
      <c r="L1" s="8">
        <v>45035</v>
      </c>
      <c r="M1" s="8">
        <v>45036</v>
      </c>
      <c r="N1" s="8">
        <v>45037</v>
      </c>
      <c r="O1" s="8">
        <v>45038</v>
      </c>
      <c r="P1" s="8">
        <v>45039</v>
      </c>
      <c r="Q1" s="8">
        <v>45040</v>
      </c>
      <c r="R1" s="8">
        <v>45041</v>
      </c>
      <c r="S1" s="8">
        <v>45042</v>
      </c>
      <c r="T1" s="8">
        <v>45043</v>
      </c>
      <c r="U1" s="8">
        <v>45044</v>
      </c>
      <c r="V1" s="8">
        <v>45045</v>
      </c>
      <c r="W1" s="8">
        <v>45046</v>
      </c>
    </row>
    <row r="2" spans="1:23" x14ac:dyDescent="0.2">
      <c r="A2" t="s">
        <v>120</v>
      </c>
      <c r="B2" t="s">
        <v>121</v>
      </c>
      <c r="C2">
        <v>3000</v>
      </c>
      <c r="D2">
        <v>3000</v>
      </c>
      <c r="E2">
        <v>3000</v>
      </c>
      <c r="F2">
        <v>3000</v>
      </c>
      <c r="G2">
        <v>3000</v>
      </c>
      <c r="H2"/>
      <c r="I2"/>
      <c r="J2">
        <v>3000</v>
      </c>
      <c r="K2">
        <v>3000</v>
      </c>
      <c r="L2">
        <v>3000</v>
      </c>
      <c r="M2">
        <v>3000</v>
      </c>
      <c r="N2">
        <v>3000</v>
      </c>
      <c r="O2"/>
      <c r="P2"/>
      <c r="Q2">
        <v>3000</v>
      </c>
      <c r="R2">
        <v>3000</v>
      </c>
      <c r="S2">
        <v>3000</v>
      </c>
      <c r="T2">
        <v>3000</v>
      </c>
      <c r="U2">
        <v>3000</v>
      </c>
    </row>
    <row r="3" spans="1:23" x14ac:dyDescent="0.2"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3" x14ac:dyDescent="0.2"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3" x14ac:dyDescent="0.2"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3" x14ac:dyDescent="0.2"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3" x14ac:dyDescent="0.2"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3" x14ac:dyDescent="0.2"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3" x14ac:dyDescent="0.2"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3" x14ac:dyDescent="0.2"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3" x14ac:dyDescent="0.2"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3" x14ac:dyDescent="0.2"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3" x14ac:dyDescent="0.2"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3" x14ac:dyDescent="0.2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3" x14ac:dyDescent="0.2"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3" x14ac:dyDescent="0.2"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AFE1-1B24-45F7-B409-A36F1E25E147}">
  <dimension ref="A1:C14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32.6640625" bestFit="1" customWidth="1"/>
    <col min="2" max="2" width="12.1640625" customWidth="1"/>
    <col min="3" max="3" width="9.83203125" bestFit="1" customWidth="1"/>
    <col min="4" max="13" width="7.1640625" customWidth="1"/>
  </cols>
  <sheetData>
    <row r="1" spans="1:3" x14ac:dyDescent="0.2">
      <c r="A1" t="s">
        <v>453</v>
      </c>
      <c r="B1" t="s">
        <v>452</v>
      </c>
      <c r="C1" t="s">
        <v>8</v>
      </c>
    </row>
    <row r="2" spans="1:3" x14ac:dyDescent="0.2">
      <c r="A2" t="s">
        <v>435</v>
      </c>
      <c r="B2" t="s">
        <v>499</v>
      </c>
      <c r="C2" t="s">
        <v>454</v>
      </c>
    </row>
    <row r="3" spans="1:3" x14ac:dyDescent="0.2">
      <c r="A3" t="s">
        <v>439</v>
      </c>
      <c r="B3">
        <v>5</v>
      </c>
      <c r="C3" t="s">
        <v>455</v>
      </c>
    </row>
    <row r="4" spans="1:3" x14ac:dyDescent="0.2">
      <c r="A4" t="s">
        <v>461</v>
      </c>
      <c r="B4">
        <v>3000</v>
      </c>
      <c r="C4" t="s">
        <v>460</v>
      </c>
    </row>
    <row r="5" spans="1:3" x14ac:dyDescent="0.2">
      <c r="A5" t="s">
        <v>462</v>
      </c>
      <c r="B5">
        <v>1000</v>
      </c>
      <c r="C5" t="s">
        <v>460</v>
      </c>
    </row>
    <row r="6" spans="1:3" x14ac:dyDescent="0.2">
      <c r="A6" t="s">
        <v>440</v>
      </c>
      <c r="B6">
        <v>1</v>
      </c>
      <c r="C6" t="s">
        <v>456</v>
      </c>
    </row>
    <row r="7" spans="1:3" x14ac:dyDescent="0.2">
      <c r="A7" t="s">
        <v>441</v>
      </c>
      <c r="B7">
        <v>3</v>
      </c>
      <c r="C7" t="s">
        <v>456</v>
      </c>
    </row>
    <row r="8" spans="1:3" x14ac:dyDescent="0.2">
      <c r="A8" t="s">
        <v>459</v>
      </c>
      <c r="B8">
        <v>1</v>
      </c>
      <c r="C8" t="s">
        <v>457</v>
      </c>
    </row>
    <row r="9" spans="1:3" x14ac:dyDescent="0.2">
      <c r="A9" t="s">
        <v>442</v>
      </c>
      <c r="B9">
        <v>5</v>
      </c>
      <c r="C9" t="s">
        <v>454</v>
      </c>
    </row>
    <row r="10" spans="1:3" x14ac:dyDescent="0.2">
      <c r="A10" t="s">
        <v>487</v>
      </c>
      <c r="B10">
        <f>SUM(B11:B14)</f>
        <v>685000</v>
      </c>
      <c r="C10" t="s">
        <v>458</v>
      </c>
    </row>
    <row r="11" spans="1:3" x14ac:dyDescent="0.2">
      <c r="A11" s="4" t="s">
        <v>443</v>
      </c>
      <c r="B11">
        <v>50000</v>
      </c>
      <c r="C11" t="s">
        <v>458</v>
      </c>
    </row>
    <row r="12" spans="1:3" x14ac:dyDescent="0.2">
      <c r="A12" s="4" t="s">
        <v>444</v>
      </c>
      <c r="B12">
        <v>125000</v>
      </c>
      <c r="C12" t="s">
        <v>458</v>
      </c>
    </row>
    <row r="13" spans="1:3" x14ac:dyDescent="0.2">
      <c r="A13" s="4" t="s">
        <v>445</v>
      </c>
      <c r="B13">
        <v>30000</v>
      </c>
      <c r="C13" t="s">
        <v>458</v>
      </c>
    </row>
    <row r="14" spans="1:3" x14ac:dyDescent="0.2">
      <c r="A14" s="4" t="s">
        <v>486</v>
      </c>
      <c r="B14">
        <v>480000</v>
      </c>
      <c r="C14" t="s">
        <v>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B2A6-828D-4276-BD7A-7C324C289C11}">
  <dimension ref="A1:H19"/>
  <sheetViews>
    <sheetView workbookViewId="0">
      <selection activeCell="E33" sqref="E33"/>
    </sheetView>
  </sheetViews>
  <sheetFormatPr baseColWidth="10" defaultColWidth="8.83203125" defaultRowHeight="15" x14ac:dyDescent="0.2"/>
  <cols>
    <col min="3" max="3" width="14.6640625" bestFit="1" customWidth="1"/>
    <col min="4" max="4" width="17.5" bestFit="1" customWidth="1"/>
    <col min="5" max="5" width="16" bestFit="1" customWidth="1"/>
    <col min="7" max="7" width="11" bestFit="1" customWidth="1"/>
  </cols>
  <sheetData>
    <row r="1" spans="1:8" x14ac:dyDescent="0.2">
      <c r="A1" t="s">
        <v>9</v>
      </c>
      <c r="B1" t="s">
        <v>10</v>
      </c>
      <c r="C1" t="s">
        <v>451</v>
      </c>
      <c r="D1" t="s">
        <v>450</v>
      </c>
      <c r="E1" t="s">
        <v>7</v>
      </c>
      <c r="F1" t="s">
        <v>8</v>
      </c>
      <c r="G1" t="s">
        <v>449</v>
      </c>
      <c r="H1" t="s">
        <v>468</v>
      </c>
    </row>
    <row r="2" spans="1:8" x14ac:dyDescent="0.2">
      <c r="A2">
        <v>0</v>
      </c>
      <c r="C2" t="s">
        <v>120</v>
      </c>
      <c r="D2" t="s">
        <v>121</v>
      </c>
      <c r="E2" t="s">
        <v>466</v>
      </c>
      <c r="F2" t="s">
        <v>467</v>
      </c>
      <c r="G2" t="s">
        <v>466</v>
      </c>
      <c r="H2" t="s">
        <v>466</v>
      </c>
    </row>
    <row r="3" spans="1:8" x14ac:dyDescent="0.2">
      <c r="A3">
        <v>1</v>
      </c>
      <c r="B3" s="2" t="s">
        <v>122</v>
      </c>
      <c r="C3" t="s">
        <v>127</v>
      </c>
      <c r="D3" s="3" t="s">
        <v>11</v>
      </c>
      <c r="E3">
        <v>1</v>
      </c>
      <c r="F3" t="s">
        <v>26</v>
      </c>
      <c r="G3" t="s">
        <v>466</v>
      </c>
      <c r="H3" t="s">
        <v>466</v>
      </c>
    </row>
    <row r="4" spans="1:8" x14ac:dyDescent="0.2">
      <c r="A4">
        <v>1</v>
      </c>
      <c r="B4" s="2" t="s">
        <v>123</v>
      </c>
      <c r="C4" t="s">
        <v>128</v>
      </c>
      <c r="D4" s="3" t="s">
        <v>12</v>
      </c>
      <c r="E4">
        <v>1</v>
      </c>
      <c r="F4" t="s">
        <v>26</v>
      </c>
      <c r="G4" t="s">
        <v>446</v>
      </c>
      <c r="H4">
        <v>1</v>
      </c>
    </row>
    <row r="5" spans="1:8" x14ac:dyDescent="0.2">
      <c r="A5">
        <v>1</v>
      </c>
      <c r="B5" s="2" t="s">
        <v>124</v>
      </c>
      <c r="C5" t="s">
        <v>129</v>
      </c>
      <c r="D5" s="3" t="s">
        <v>13</v>
      </c>
      <c r="E5">
        <v>1</v>
      </c>
      <c r="F5" t="s">
        <v>26</v>
      </c>
      <c r="G5" t="s">
        <v>447</v>
      </c>
      <c r="H5">
        <v>7</v>
      </c>
    </row>
    <row r="6" spans="1:8" x14ac:dyDescent="0.2">
      <c r="A6">
        <v>1</v>
      </c>
      <c r="B6" s="2" t="s">
        <v>125</v>
      </c>
      <c r="C6" t="s">
        <v>130</v>
      </c>
      <c r="D6" s="3" t="s">
        <v>14</v>
      </c>
      <c r="E6">
        <v>1</v>
      </c>
      <c r="F6" t="s">
        <v>26</v>
      </c>
      <c r="G6" t="s">
        <v>448</v>
      </c>
      <c r="H6">
        <v>2</v>
      </c>
    </row>
    <row r="7" spans="1:8" x14ac:dyDescent="0.2">
      <c r="A7">
        <v>1</v>
      </c>
      <c r="B7" s="2" t="s">
        <v>126</v>
      </c>
      <c r="C7" t="s">
        <v>131</v>
      </c>
      <c r="D7" s="3" t="s">
        <v>15</v>
      </c>
      <c r="E7">
        <v>1</v>
      </c>
      <c r="F7" t="s">
        <v>26</v>
      </c>
      <c r="G7" t="s">
        <v>446</v>
      </c>
      <c r="H7">
        <v>1</v>
      </c>
    </row>
    <row r="8" spans="1:8" x14ac:dyDescent="0.2">
      <c r="A8">
        <v>1</v>
      </c>
      <c r="B8" s="2" t="s">
        <v>142</v>
      </c>
      <c r="C8" t="s">
        <v>437</v>
      </c>
      <c r="D8" s="3" t="s">
        <v>438</v>
      </c>
      <c r="E8">
        <v>1</v>
      </c>
      <c r="F8" t="s">
        <v>26</v>
      </c>
      <c r="G8" t="s">
        <v>448</v>
      </c>
      <c r="H8">
        <v>2</v>
      </c>
    </row>
    <row r="9" spans="1:8" x14ac:dyDescent="0.2">
      <c r="A9">
        <v>1</v>
      </c>
      <c r="C9" t="s">
        <v>127</v>
      </c>
      <c r="D9" s="3" t="s">
        <v>11</v>
      </c>
      <c r="E9" t="s">
        <v>466</v>
      </c>
      <c r="F9" t="s">
        <v>467</v>
      </c>
      <c r="G9" t="s">
        <v>466</v>
      </c>
      <c r="H9" t="s">
        <v>466</v>
      </c>
    </row>
    <row r="10" spans="1:8" x14ac:dyDescent="0.2">
      <c r="A10">
        <v>2</v>
      </c>
      <c r="B10" s="2" t="s">
        <v>122</v>
      </c>
      <c r="C10" t="s">
        <v>132</v>
      </c>
      <c r="D10" s="4" t="s">
        <v>16</v>
      </c>
      <c r="E10">
        <v>1</v>
      </c>
      <c r="F10" t="s">
        <v>26</v>
      </c>
      <c r="G10" t="s">
        <v>447</v>
      </c>
      <c r="H10">
        <v>10</v>
      </c>
    </row>
    <row r="11" spans="1:8" x14ac:dyDescent="0.2">
      <c r="A11">
        <v>2</v>
      </c>
      <c r="B11" s="2" t="s">
        <v>123</v>
      </c>
      <c r="C11" t="s">
        <v>133</v>
      </c>
      <c r="D11" s="4" t="s">
        <v>17</v>
      </c>
      <c r="E11">
        <v>1</v>
      </c>
      <c r="F11" t="s">
        <v>26</v>
      </c>
      <c r="G11" t="s">
        <v>447</v>
      </c>
      <c r="H11">
        <v>10</v>
      </c>
    </row>
    <row r="12" spans="1:8" x14ac:dyDescent="0.2">
      <c r="A12">
        <v>2</v>
      </c>
      <c r="B12" s="2" t="s">
        <v>124</v>
      </c>
      <c r="C12" t="s">
        <v>134</v>
      </c>
      <c r="D12" s="4" t="s">
        <v>18</v>
      </c>
      <c r="E12">
        <v>1</v>
      </c>
      <c r="F12" t="s">
        <v>26</v>
      </c>
      <c r="G12" t="s">
        <v>447</v>
      </c>
      <c r="H12">
        <v>7</v>
      </c>
    </row>
    <row r="13" spans="1:8" x14ac:dyDescent="0.2">
      <c r="A13">
        <v>2</v>
      </c>
      <c r="B13" s="2" t="s">
        <v>125</v>
      </c>
      <c r="C13" t="s">
        <v>135</v>
      </c>
      <c r="D13" s="4" t="s">
        <v>19</v>
      </c>
      <c r="E13">
        <v>1</v>
      </c>
      <c r="F13" t="s">
        <v>26</v>
      </c>
      <c r="G13" t="s">
        <v>448</v>
      </c>
      <c r="H13">
        <v>3</v>
      </c>
    </row>
    <row r="14" spans="1:8" x14ac:dyDescent="0.2">
      <c r="A14">
        <v>2</v>
      </c>
      <c r="B14" s="2" t="s">
        <v>126</v>
      </c>
      <c r="C14" t="s">
        <v>136</v>
      </c>
      <c r="D14" s="4" t="s">
        <v>20</v>
      </c>
      <c r="E14">
        <v>1</v>
      </c>
      <c r="F14" t="s">
        <v>26</v>
      </c>
      <c r="G14" t="s">
        <v>447</v>
      </c>
      <c r="H14">
        <v>7</v>
      </c>
    </row>
    <row r="15" spans="1:8" x14ac:dyDescent="0.2">
      <c r="A15">
        <v>2</v>
      </c>
      <c r="B15" s="2" t="s">
        <v>142</v>
      </c>
      <c r="C15" t="s">
        <v>137</v>
      </c>
      <c r="D15" s="4" t="s">
        <v>21</v>
      </c>
      <c r="E15">
        <v>1</v>
      </c>
      <c r="F15" t="s">
        <v>26</v>
      </c>
      <c r="G15" t="s">
        <v>448</v>
      </c>
      <c r="H15">
        <v>3</v>
      </c>
    </row>
    <row r="16" spans="1:8" x14ac:dyDescent="0.2">
      <c r="A16">
        <v>2</v>
      </c>
      <c r="B16" s="2" t="s">
        <v>143</v>
      </c>
      <c r="C16" t="s">
        <v>138</v>
      </c>
      <c r="D16" s="4" t="s">
        <v>22</v>
      </c>
      <c r="E16">
        <v>1</v>
      </c>
      <c r="F16" t="s">
        <v>26</v>
      </c>
      <c r="G16" t="s">
        <v>448</v>
      </c>
      <c r="H16">
        <v>2</v>
      </c>
    </row>
    <row r="17" spans="1:8" x14ac:dyDescent="0.2">
      <c r="A17">
        <v>2</v>
      </c>
      <c r="B17" s="2" t="s">
        <v>144</v>
      </c>
      <c r="C17" t="s">
        <v>139</v>
      </c>
      <c r="D17" s="4" t="s">
        <v>23</v>
      </c>
      <c r="E17">
        <v>1</v>
      </c>
      <c r="F17" t="s">
        <v>26</v>
      </c>
      <c r="G17" t="s">
        <v>448</v>
      </c>
      <c r="H17">
        <v>2</v>
      </c>
    </row>
    <row r="18" spans="1:8" x14ac:dyDescent="0.2">
      <c r="A18">
        <v>2</v>
      </c>
      <c r="B18" s="2" t="s">
        <v>145</v>
      </c>
      <c r="C18" t="s">
        <v>140</v>
      </c>
      <c r="D18" s="4" t="s">
        <v>24</v>
      </c>
      <c r="E18">
        <v>1</v>
      </c>
      <c r="F18" t="s">
        <v>26</v>
      </c>
      <c r="G18" t="s">
        <v>448</v>
      </c>
      <c r="H18">
        <v>3</v>
      </c>
    </row>
    <row r="19" spans="1:8" x14ac:dyDescent="0.2">
      <c r="A19">
        <v>2</v>
      </c>
      <c r="B19" s="2" t="s">
        <v>146</v>
      </c>
      <c r="C19" t="s">
        <v>141</v>
      </c>
      <c r="D19" s="4" t="s">
        <v>25</v>
      </c>
      <c r="E19">
        <v>1</v>
      </c>
      <c r="F19" t="s">
        <v>26</v>
      </c>
      <c r="G19" t="s">
        <v>448</v>
      </c>
      <c r="H19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EDB9-75D5-4A4D-951D-02D68EC736F7}">
  <dimension ref="A1:XEF103"/>
  <sheetViews>
    <sheetView zoomScaleNormal="100" zoomScaleSheetLayoutView="100" workbookViewId="0">
      <selection activeCell="F18" sqref="F18"/>
    </sheetView>
  </sheetViews>
  <sheetFormatPr baseColWidth="10" defaultColWidth="8.83203125" defaultRowHeight="15" x14ac:dyDescent="0.2"/>
  <cols>
    <col min="1" max="1" width="9.6640625" bestFit="1" customWidth="1"/>
    <col min="2" max="2" width="17.5" bestFit="1" customWidth="1"/>
    <col min="3" max="3" width="6.83203125" style="6" bestFit="1" customWidth="1"/>
    <col min="4" max="13" width="6" style="6" bestFit="1" customWidth="1"/>
    <col min="14" max="14" width="6.83203125" style="6" bestFit="1" customWidth="1"/>
    <col min="15" max="16" width="6" style="6" bestFit="1" customWidth="1"/>
    <col min="17" max="17" width="6.83203125" style="6" bestFit="1" customWidth="1"/>
    <col min="18" max="20" width="6" bestFit="1" customWidth="1"/>
    <col min="21" max="21" width="11.33203125" customWidth="1"/>
    <col min="22" max="22" width="10.5" customWidth="1"/>
  </cols>
  <sheetData>
    <row r="1" spans="1:1024 1026:2048 2050:3072 3074:4096 4098:5120 5122:6144 6146:7168 7170:8192 8194:9216 9218:10240 10242:11264 11266:12288 12290:13312 13314:14336 14338:15360 15362:16360" ht="78" customHeight="1" x14ac:dyDescent="0.2">
      <c r="A1" t="s">
        <v>451</v>
      </c>
      <c r="B1" t="s">
        <v>450</v>
      </c>
      <c r="C1" s="8">
        <v>45029</v>
      </c>
      <c r="D1" s="8">
        <v>45030</v>
      </c>
      <c r="E1" s="8">
        <v>45031</v>
      </c>
      <c r="F1" s="8">
        <v>45032</v>
      </c>
      <c r="G1" s="8">
        <v>45033</v>
      </c>
      <c r="H1" s="8">
        <v>45034</v>
      </c>
      <c r="I1" s="8">
        <v>45035</v>
      </c>
      <c r="J1" s="8">
        <v>45036</v>
      </c>
      <c r="K1" s="8">
        <v>45037</v>
      </c>
      <c r="L1" s="8">
        <v>45038</v>
      </c>
      <c r="M1" s="8">
        <v>45039</v>
      </c>
      <c r="N1" s="8">
        <v>45040</v>
      </c>
      <c r="O1" s="8">
        <v>45041</v>
      </c>
      <c r="P1" s="8">
        <v>45042</v>
      </c>
      <c r="Q1" s="8">
        <v>45043</v>
      </c>
      <c r="R1" s="8">
        <v>45044</v>
      </c>
      <c r="S1" s="8">
        <v>45045</v>
      </c>
      <c r="T1" s="8">
        <v>45046</v>
      </c>
    </row>
    <row r="2" spans="1:1024 1026:2048 2050:3072 3074:4096 4098:5120 5122:6144 6146:7168 7170:8192 8194:9216 9218:10240 10242:11264 11266:12288 12290:13312 13314:14336 14338:15360 15362:16360" x14ac:dyDescent="0.2">
      <c r="A2" t="s">
        <v>128</v>
      </c>
      <c r="B2" t="s">
        <v>12</v>
      </c>
      <c r="C2">
        <v>3630.0000000000005</v>
      </c>
      <c r="D2">
        <v>3000</v>
      </c>
      <c r="E2">
        <v>0</v>
      </c>
      <c r="F2">
        <v>0</v>
      </c>
      <c r="G2">
        <v>3000</v>
      </c>
      <c r="H2">
        <v>3000</v>
      </c>
      <c r="I2">
        <v>3000</v>
      </c>
      <c r="J2">
        <v>3000</v>
      </c>
      <c r="K2">
        <v>3000</v>
      </c>
      <c r="L2">
        <v>0</v>
      </c>
      <c r="M2">
        <v>0</v>
      </c>
      <c r="N2">
        <v>3000</v>
      </c>
      <c r="O2">
        <v>3000</v>
      </c>
      <c r="P2">
        <v>3000</v>
      </c>
      <c r="Q2">
        <v>3000</v>
      </c>
      <c r="R2">
        <v>3000</v>
      </c>
      <c r="S2">
        <v>0</v>
      </c>
      <c r="T2">
        <v>0</v>
      </c>
    </row>
    <row r="3" spans="1:1024 1026:2048 2050:3072 3074:4096 4098:5120 5122:6144 6146:7168 7170:8192 8194:9216 9218:10240 10242:11264 11266:12288 12290:13312 13314:14336 14338:15360 15362:16360" x14ac:dyDescent="0.2">
      <c r="A3" t="s">
        <v>129</v>
      </c>
      <c r="B3" t="s">
        <v>13</v>
      </c>
      <c r="C3">
        <v>23410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1024 1026:2048 2050:3072 3074:4096 4098:5120 5122:6144 6146:7168 7170:8192 8194:9216 9218:10240 10242:11264 11266:12288 12290:13312 13314:14336 14338:15360 15362:16360" x14ac:dyDescent="0.2">
      <c r="A4" t="s">
        <v>130</v>
      </c>
      <c r="B4" t="s">
        <v>14</v>
      </c>
      <c r="C4">
        <v>7260</v>
      </c>
      <c r="D4">
        <v>0</v>
      </c>
      <c r="E4">
        <v>0</v>
      </c>
      <c r="F4">
        <v>0</v>
      </c>
      <c r="G4">
        <v>6000</v>
      </c>
      <c r="H4">
        <v>0</v>
      </c>
      <c r="I4">
        <v>6000</v>
      </c>
      <c r="J4">
        <v>0</v>
      </c>
      <c r="K4">
        <v>6000</v>
      </c>
      <c r="L4">
        <v>0</v>
      </c>
      <c r="M4">
        <v>0</v>
      </c>
      <c r="N4">
        <v>0</v>
      </c>
      <c r="O4">
        <v>6000</v>
      </c>
      <c r="P4">
        <v>0</v>
      </c>
      <c r="Q4">
        <v>6000</v>
      </c>
      <c r="R4">
        <v>0</v>
      </c>
      <c r="S4">
        <v>0</v>
      </c>
      <c r="T4">
        <v>0</v>
      </c>
    </row>
    <row r="5" spans="1:1024 1026:2048 2050:3072 3074:4096 4098:5120 5122:6144 6146:7168 7170:8192 8194:9216 9218:10240 10242:11264 11266:12288 12290:13312 13314:14336 14338:15360 15362:16360" x14ac:dyDescent="0.2">
      <c r="A5" t="s">
        <v>131</v>
      </c>
      <c r="B5" t="s">
        <v>15</v>
      </c>
      <c r="C5">
        <v>3940</v>
      </c>
      <c r="D5">
        <v>3000</v>
      </c>
      <c r="E5">
        <v>0</v>
      </c>
      <c r="F5">
        <v>0</v>
      </c>
      <c r="G5">
        <v>3000</v>
      </c>
      <c r="H5">
        <v>3000</v>
      </c>
      <c r="I5">
        <v>3000</v>
      </c>
      <c r="J5">
        <v>3000</v>
      </c>
      <c r="K5">
        <v>3000</v>
      </c>
      <c r="L5">
        <v>0</v>
      </c>
      <c r="M5">
        <v>0</v>
      </c>
      <c r="N5">
        <v>3000</v>
      </c>
      <c r="O5">
        <v>3000</v>
      </c>
      <c r="P5">
        <v>3000</v>
      </c>
      <c r="Q5">
        <v>3000</v>
      </c>
      <c r="R5">
        <v>3000</v>
      </c>
      <c r="S5">
        <v>0</v>
      </c>
      <c r="T5">
        <v>0</v>
      </c>
    </row>
    <row r="6" spans="1:1024 1026:2048 2050:3072 3074:4096 4098:5120 5122:6144 6146:7168 7170:8192 8194:9216 9218:10240 10242:11264 11266:12288 12290:13312 13314:14336 14338:15360 15362:16360" s="3" customFormat="1" x14ac:dyDescent="0.2">
      <c r="A6" t="s">
        <v>437</v>
      </c>
      <c r="B6" s="5" t="s">
        <v>438</v>
      </c>
      <c r="C6">
        <v>7260.0000000000009</v>
      </c>
      <c r="D6">
        <v>0</v>
      </c>
      <c r="E6">
        <v>0</v>
      </c>
      <c r="F6">
        <v>0</v>
      </c>
      <c r="G6">
        <v>6000</v>
      </c>
      <c r="H6">
        <v>0</v>
      </c>
      <c r="I6">
        <v>6000</v>
      </c>
      <c r="J6">
        <v>0</v>
      </c>
      <c r="K6">
        <v>6000</v>
      </c>
      <c r="L6">
        <v>0</v>
      </c>
      <c r="M6">
        <v>0</v>
      </c>
      <c r="N6">
        <v>0</v>
      </c>
      <c r="O6">
        <v>6000</v>
      </c>
      <c r="P6">
        <v>0</v>
      </c>
      <c r="Q6">
        <v>6000</v>
      </c>
      <c r="R6">
        <v>0</v>
      </c>
      <c r="S6">
        <v>0</v>
      </c>
      <c r="T6">
        <v>0</v>
      </c>
      <c r="U6"/>
      <c r="V6"/>
      <c r="W6"/>
      <c r="Y6"/>
      <c r="Z6"/>
      <c r="AB6"/>
      <c r="AD6"/>
      <c r="AF6"/>
      <c r="AH6"/>
      <c r="AJ6"/>
      <c r="AL6"/>
      <c r="AN6"/>
      <c r="AP6"/>
      <c r="AR6"/>
      <c r="AT6"/>
      <c r="AV6"/>
      <c r="AX6"/>
      <c r="AZ6"/>
      <c r="BB6"/>
      <c r="BD6"/>
      <c r="BF6"/>
      <c r="BH6"/>
      <c r="BJ6"/>
      <c r="BL6"/>
      <c r="BN6"/>
      <c r="BP6"/>
      <c r="BR6"/>
      <c r="BT6"/>
      <c r="BV6"/>
      <c r="BX6"/>
      <c r="BZ6"/>
      <c r="CB6"/>
      <c r="CD6"/>
      <c r="CF6"/>
      <c r="CH6"/>
      <c r="CJ6"/>
      <c r="CL6"/>
      <c r="CN6"/>
      <c r="CP6"/>
      <c r="CR6"/>
      <c r="CT6"/>
      <c r="CV6"/>
      <c r="CX6"/>
      <c r="CZ6"/>
      <c r="DB6"/>
      <c r="DD6"/>
      <c r="DF6"/>
      <c r="DH6"/>
      <c r="DJ6"/>
      <c r="DL6"/>
      <c r="DN6"/>
      <c r="DP6"/>
      <c r="DR6"/>
      <c r="DT6"/>
      <c r="DV6"/>
      <c r="DX6"/>
      <c r="DZ6"/>
      <c r="EB6"/>
      <c r="ED6"/>
      <c r="EF6"/>
      <c r="EH6"/>
      <c r="EJ6"/>
      <c r="EL6"/>
      <c r="EN6"/>
      <c r="EP6"/>
      <c r="ER6"/>
      <c r="ET6"/>
      <c r="EV6"/>
      <c r="EX6"/>
      <c r="EZ6"/>
      <c r="FB6"/>
      <c r="FD6"/>
      <c r="FF6"/>
      <c r="FH6"/>
      <c r="FJ6"/>
      <c r="FL6"/>
      <c r="FN6"/>
      <c r="FP6"/>
      <c r="FR6"/>
      <c r="FT6"/>
      <c r="FV6"/>
      <c r="FX6"/>
      <c r="FZ6"/>
      <c r="GB6"/>
      <c r="GD6"/>
      <c r="GF6"/>
      <c r="GH6"/>
      <c r="GJ6"/>
      <c r="GL6"/>
      <c r="GN6"/>
      <c r="GP6"/>
      <c r="GR6"/>
      <c r="GT6"/>
      <c r="GV6"/>
      <c r="GX6"/>
      <c r="GZ6"/>
      <c r="HB6"/>
      <c r="HD6"/>
      <c r="HF6"/>
      <c r="HH6"/>
      <c r="HJ6"/>
      <c r="HL6"/>
      <c r="HN6"/>
      <c r="HP6"/>
      <c r="HR6"/>
      <c r="HT6"/>
      <c r="HV6"/>
      <c r="HX6"/>
      <c r="HZ6"/>
      <c r="IB6"/>
      <c r="ID6"/>
      <c r="IF6"/>
      <c r="IH6"/>
      <c r="IJ6"/>
      <c r="IL6"/>
      <c r="IN6"/>
      <c r="IP6"/>
      <c r="IR6"/>
      <c r="IT6"/>
      <c r="IV6"/>
      <c r="IX6"/>
      <c r="IZ6"/>
      <c r="JB6"/>
      <c r="JD6"/>
      <c r="JF6"/>
      <c r="JH6"/>
      <c r="JJ6"/>
      <c r="JL6"/>
      <c r="JN6"/>
      <c r="JP6"/>
      <c r="JR6"/>
      <c r="JT6"/>
      <c r="JV6"/>
      <c r="JX6"/>
      <c r="JZ6"/>
      <c r="KB6"/>
      <c r="KD6"/>
      <c r="KF6"/>
      <c r="KH6"/>
      <c r="KJ6"/>
      <c r="KL6"/>
      <c r="KN6"/>
      <c r="KP6"/>
      <c r="KR6"/>
      <c r="KT6"/>
      <c r="KV6"/>
      <c r="KX6"/>
      <c r="KZ6"/>
      <c r="LB6"/>
      <c r="LD6"/>
      <c r="LF6"/>
      <c r="LH6"/>
      <c r="LJ6"/>
      <c r="LL6"/>
      <c r="LN6"/>
      <c r="LP6"/>
      <c r="LR6"/>
      <c r="LT6"/>
      <c r="LV6"/>
      <c r="LX6"/>
      <c r="LZ6"/>
      <c r="MB6"/>
      <c r="MD6"/>
      <c r="MF6"/>
      <c r="MH6"/>
      <c r="MJ6"/>
      <c r="ML6"/>
      <c r="MN6"/>
      <c r="MP6"/>
      <c r="MR6"/>
      <c r="MT6"/>
      <c r="MV6"/>
      <c r="MX6"/>
      <c r="MZ6"/>
      <c r="NB6"/>
      <c r="ND6"/>
      <c r="NF6"/>
      <c r="NH6"/>
      <c r="NJ6"/>
      <c r="NL6"/>
      <c r="NN6"/>
      <c r="NP6"/>
      <c r="NR6"/>
      <c r="NT6"/>
      <c r="NV6"/>
      <c r="NX6"/>
      <c r="NZ6"/>
      <c r="OB6"/>
      <c r="OD6"/>
      <c r="OF6"/>
      <c r="OH6"/>
      <c r="OJ6"/>
      <c r="OL6"/>
      <c r="ON6"/>
      <c r="OP6"/>
      <c r="OR6"/>
      <c r="OT6"/>
      <c r="OV6"/>
      <c r="OX6"/>
      <c r="OZ6"/>
      <c r="PB6"/>
      <c r="PD6"/>
      <c r="PF6"/>
      <c r="PH6"/>
      <c r="PJ6"/>
      <c r="PL6"/>
      <c r="PN6"/>
      <c r="PP6"/>
      <c r="PR6"/>
      <c r="PT6"/>
      <c r="PV6"/>
      <c r="PX6"/>
      <c r="PZ6"/>
      <c r="QB6"/>
      <c r="QD6"/>
      <c r="QF6"/>
      <c r="QH6"/>
      <c r="QJ6"/>
      <c r="QL6"/>
      <c r="QN6"/>
      <c r="QP6"/>
      <c r="QR6"/>
      <c r="QT6"/>
      <c r="QV6"/>
      <c r="QX6"/>
      <c r="QZ6"/>
      <c r="RB6"/>
      <c r="RD6"/>
      <c r="RF6"/>
      <c r="RH6"/>
      <c r="RJ6"/>
      <c r="RL6"/>
      <c r="RN6"/>
      <c r="RP6"/>
      <c r="RR6"/>
      <c r="RT6"/>
      <c r="RV6"/>
      <c r="RX6"/>
      <c r="RZ6"/>
      <c r="SB6"/>
      <c r="SD6"/>
      <c r="SF6"/>
      <c r="SH6"/>
      <c r="SJ6"/>
      <c r="SL6"/>
      <c r="SN6"/>
      <c r="SP6"/>
      <c r="SR6"/>
      <c r="ST6"/>
      <c r="SV6"/>
      <c r="SX6"/>
      <c r="SZ6"/>
      <c r="TB6"/>
      <c r="TD6"/>
      <c r="TF6"/>
      <c r="TH6"/>
      <c r="TJ6"/>
      <c r="TL6"/>
      <c r="TN6"/>
      <c r="TP6"/>
      <c r="TR6"/>
      <c r="TT6"/>
      <c r="TV6"/>
      <c r="TX6"/>
      <c r="TZ6"/>
      <c r="UB6"/>
      <c r="UD6"/>
      <c r="UF6"/>
      <c r="UH6"/>
      <c r="UJ6"/>
      <c r="UL6"/>
      <c r="UN6"/>
      <c r="UP6"/>
      <c r="UR6"/>
      <c r="UT6"/>
      <c r="UV6"/>
      <c r="UX6"/>
      <c r="UZ6"/>
      <c r="VB6"/>
      <c r="VD6"/>
      <c r="VF6"/>
      <c r="VH6"/>
      <c r="VJ6"/>
      <c r="VL6"/>
      <c r="VN6"/>
      <c r="VP6"/>
      <c r="VR6"/>
      <c r="VT6"/>
      <c r="VV6"/>
      <c r="VX6"/>
      <c r="VZ6"/>
      <c r="WB6"/>
      <c r="WD6"/>
      <c r="WF6"/>
      <c r="WH6"/>
      <c r="WJ6"/>
      <c r="WL6"/>
      <c r="WN6"/>
      <c r="WP6"/>
      <c r="WR6"/>
      <c r="WT6"/>
      <c r="WV6"/>
      <c r="WX6"/>
      <c r="WZ6"/>
      <c r="XB6"/>
      <c r="XD6"/>
      <c r="XF6"/>
      <c r="XH6"/>
      <c r="XJ6"/>
      <c r="XL6"/>
      <c r="XN6"/>
      <c r="XP6"/>
      <c r="XR6"/>
      <c r="XT6"/>
      <c r="XV6"/>
      <c r="XX6"/>
      <c r="XZ6"/>
      <c r="YB6"/>
      <c r="YD6"/>
      <c r="YF6"/>
      <c r="YH6"/>
      <c r="YJ6"/>
      <c r="YL6"/>
      <c r="YN6"/>
      <c r="YP6"/>
      <c r="YR6"/>
      <c r="YT6"/>
      <c r="YV6"/>
      <c r="YX6"/>
      <c r="YZ6"/>
      <c r="ZB6"/>
      <c r="ZD6"/>
      <c r="ZF6"/>
      <c r="ZH6"/>
      <c r="ZJ6"/>
      <c r="ZL6"/>
      <c r="ZN6"/>
      <c r="ZP6"/>
      <c r="ZR6"/>
      <c r="ZT6"/>
      <c r="ZV6"/>
      <c r="ZX6"/>
      <c r="ZZ6"/>
      <c r="AAB6"/>
      <c r="AAD6"/>
      <c r="AAF6"/>
      <c r="AAH6"/>
      <c r="AAJ6"/>
      <c r="AAL6"/>
      <c r="AAN6"/>
      <c r="AAP6"/>
      <c r="AAR6"/>
      <c r="AAT6"/>
      <c r="AAV6"/>
      <c r="AAX6"/>
      <c r="AAZ6"/>
      <c r="ABB6"/>
      <c r="ABD6"/>
      <c r="ABF6"/>
      <c r="ABH6"/>
      <c r="ABJ6"/>
      <c r="ABL6"/>
      <c r="ABN6"/>
      <c r="ABP6"/>
      <c r="ABR6"/>
      <c r="ABT6"/>
      <c r="ABV6"/>
      <c r="ABX6"/>
      <c r="ABZ6"/>
      <c r="ACB6"/>
      <c r="ACD6"/>
      <c r="ACF6"/>
      <c r="ACH6"/>
      <c r="ACJ6"/>
      <c r="ACL6"/>
      <c r="ACN6"/>
      <c r="ACP6"/>
      <c r="ACR6"/>
      <c r="ACT6"/>
      <c r="ACV6"/>
      <c r="ACX6"/>
      <c r="ACZ6"/>
      <c r="ADB6"/>
      <c r="ADD6"/>
      <c r="ADF6"/>
      <c r="ADH6"/>
      <c r="ADJ6"/>
      <c r="ADL6"/>
      <c r="ADN6"/>
      <c r="ADP6"/>
      <c r="ADR6"/>
      <c r="ADT6"/>
      <c r="ADV6"/>
      <c r="ADX6"/>
      <c r="ADZ6"/>
      <c r="AEB6"/>
      <c r="AED6"/>
      <c r="AEF6"/>
      <c r="AEH6"/>
      <c r="AEJ6"/>
      <c r="AEL6"/>
      <c r="AEN6"/>
      <c r="AEP6"/>
      <c r="AER6"/>
      <c r="AET6"/>
      <c r="AEV6"/>
      <c r="AEX6"/>
      <c r="AEZ6"/>
      <c r="AFB6"/>
      <c r="AFD6"/>
      <c r="AFF6"/>
      <c r="AFH6"/>
      <c r="AFJ6"/>
      <c r="AFL6"/>
      <c r="AFN6"/>
      <c r="AFP6"/>
      <c r="AFR6"/>
      <c r="AFT6"/>
      <c r="AFV6"/>
      <c r="AFX6"/>
      <c r="AFZ6"/>
      <c r="AGB6"/>
      <c r="AGD6"/>
      <c r="AGF6"/>
      <c r="AGH6"/>
      <c r="AGJ6"/>
      <c r="AGL6"/>
      <c r="AGN6"/>
      <c r="AGP6"/>
      <c r="AGR6"/>
      <c r="AGT6"/>
      <c r="AGV6"/>
      <c r="AGX6"/>
      <c r="AGZ6"/>
      <c r="AHB6"/>
      <c r="AHD6"/>
      <c r="AHF6"/>
      <c r="AHH6"/>
      <c r="AHJ6"/>
      <c r="AHL6"/>
      <c r="AHN6"/>
      <c r="AHP6"/>
      <c r="AHR6"/>
      <c r="AHT6"/>
      <c r="AHV6"/>
      <c r="AHX6"/>
      <c r="AHZ6"/>
      <c r="AIB6"/>
      <c r="AID6"/>
      <c r="AIF6"/>
      <c r="AIH6"/>
      <c r="AIJ6"/>
      <c r="AIL6"/>
      <c r="AIN6"/>
      <c r="AIP6"/>
      <c r="AIR6"/>
      <c r="AIT6"/>
      <c r="AIV6"/>
      <c r="AIX6"/>
      <c r="AIZ6"/>
      <c r="AJB6"/>
      <c r="AJD6"/>
      <c r="AJF6"/>
      <c r="AJH6"/>
      <c r="AJJ6"/>
      <c r="AJL6"/>
      <c r="AJN6"/>
      <c r="AJP6"/>
      <c r="AJR6"/>
      <c r="AJT6"/>
      <c r="AJV6"/>
      <c r="AJX6"/>
      <c r="AJZ6"/>
      <c r="AKB6"/>
      <c r="AKD6"/>
      <c r="AKF6"/>
      <c r="AKH6"/>
      <c r="AKJ6"/>
      <c r="AKL6"/>
      <c r="AKN6"/>
      <c r="AKP6"/>
      <c r="AKR6"/>
      <c r="AKT6"/>
      <c r="AKV6"/>
      <c r="AKX6"/>
      <c r="AKZ6"/>
      <c r="ALB6"/>
      <c r="ALD6"/>
      <c r="ALF6"/>
      <c r="ALH6"/>
      <c r="ALJ6"/>
      <c r="ALL6"/>
      <c r="ALN6"/>
      <c r="ALP6"/>
      <c r="ALR6"/>
      <c r="ALT6"/>
      <c r="ALV6"/>
      <c r="ALX6"/>
      <c r="ALZ6"/>
      <c r="AMB6"/>
      <c r="AMD6"/>
      <c r="AMF6"/>
      <c r="AMH6"/>
      <c r="AMJ6"/>
      <c r="AML6"/>
      <c r="AMN6"/>
      <c r="AMP6"/>
      <c r="AMR6"/>
      <c r="AMT6"/>
      <c r="AMV6"/>
      <c r="AMX6"/>
      <c r="AMZ6"/>
      <c r="ANB6"/>
      <c r="AND6"/>
      <c r="ANF6"/>
      <c r="ANH6"/>
      <c r="ANJ6"/>
      <c r="ANL6"/>
      <c r="ANN6"/>
      <c r="ANP6"/>
      <c r="ANR6"/>
      <c r="ANT6"/>
      <c r="ANV6"/>
      <c r="ANX6"/>
      <c r="ANZ6"/>
      <c r="AOB6"/>
      <c r="AOD6"/>
      <c r="AOF6"/>
      <c r="AOH6"/>
      <c r="AOJ6"/>
      <c r="AOL6"/>
      <c r="AON6"/>
      <c r="AOP6"/>
      <c r="AOR6"/>
      <c r="AOT6"/>
      <c r="AOV6"/>
      <c r="AOX6"/>
      <c r="AOZ6"/>
      <c r="APB6"/>
      <c r="APD6"/>
      <c r="APF6"/>
      <c r="APH6"/>
      <c r="APJ6"/>
      <c r="APL6"/>
      <c r="APN6"/>
      <c r="APP6"/>
      <c r="APR6"/>
      <c r="APT6"/>
      <c r="APV6"/>
      <c r="APX6"/>
      <c r="APZ6"/>
      <c r="AQB6"/>
      <c r="AQD6"/>
      <c r="AQF6"/>
      <c r="AQH6"/>
      <c r="AQJ6"/>
      <c r="AQL6"/>
      <c r="AQN6"/>
      <c r="AQP6"/>
      <c r="AQR6"/>
      <c r="AQT6"/>
      <c r="AQV6"/>
      <c r="AQX6"/>
      <c r="AQZ6"/>
      <c r="ARB6"/>
      <c r="ARD6"/>
      <c r="ARF6"/>
      <c r="ARH6"/>
      <c r="ARJ6"/>
      <c r="ARL6"/>
      <c r="ARN6"/>
      <c r="ARP6"/>
      <c r="ARR6"/>
      <c r="ART6"/>
      <c r="ARV6"/>
      <c r="ARX6"/>
      <c r="ARZ6"/>
      <c r="ASB6"/>
      <c r="ASD6"/>
      <c r="ASF6"/>
      <c r="ASH6"/>
      <c r="ASJ6"/>
      <c r="ASL6"/>
      <c r="ASN6"/>
      <c r="ASP6"/>
      <c r="ASR6"/>
      <c r="AST6"/>
      <c r="ASV6"/>
      <c r="ASX6"/>
      <c r="ASZ6"/>
      <c r="ATB6"/>
      <c r="ATD6"/>
      <c r="ATF6"/>
      <c r="ATH6"/>
      <c r="ATJ6"/>
      <c r="ATL6"/>
      <c r="ATN6"/>
      <c r="ATP6"/>
      <c r="ATR6"/>
      <c r="ATT6"/>
      <c r="ATV6"/>
      <c r="ATX6"/>
      <c r="ATZ6"/>
      <c r="AUB6"/>
      <c r="AUD6"/>
      <c r="AUF6"/>
      <c r="AUH6"/>
      <c r="AUJ6"/>
      <c r="AUL6"/>
      <c r="AUN6"/>
      <c r="AUP6"/>
      <c r="AUR6"/>
      <c r="AUT6"/>
      <c r="AUV6"/>
      <c r="AUX6"/>
      <c r="AUZ6"/>
      <c r="AVB6"/>
      <c r="AVD6"/>
      <c r="AVF6"/>
      <c r="AVH6"/>
      <c r="AVJ6"/>
      <c r="AVL6"/>
      <c r="AVN6"/>
      <c r="AVP6"/>
      <c r="AVR6"/>
      <c r="AVT6"/>
      <c r="AVV6"/>
      <c r="AVX6"/>
      <c r="AVZ6"/>
      <c r="AWB6"/>
      <c r="AWD6"/>
      <c r="AWF6"/>
      <c r="AWH6"/>
      <c r="AWJ6"/>
      <c r="AWL6"/>
      <c r="AWN6"/>
      <c r="AWP6"/>
      <c r="AWR6"/>
      <c r="AWT6"/>
      <c r="AWV6"/>
      <c r="AWX6"/>
      <c r="AWZ6"/>
      <c r="AXB6"/>
      <c r="AXD6"/>
      <c r="AXF6"/>
      <c r="AXH6"/>
      <c r="AXJ6"/>
      <c r="AXL6"/>
      <c r="AXN6"/>
      <c r="AXP6"/>
      <c r="AXR6"/>
      <c r="AXT6"/>
      <c r="AXV6"/>
      <c r="AXX6"/>
      <c r="AXZ6"/>
      <c r="AYB6"/>
      <c r="AYD6"/>
      <c r="AYF6"/>
      <c r="AYH6"/>
      <c r="AYJ6"/>
      <c r="AYL6"/>
      <c r="AYN6"/>
      <c r="AYP6"/>
      <c r="AYR6"/>
      <c r="AYT6"/>
      <c r="AYV6"/>
      <c r="AYX6"/>
      <c r="AYZ6"/>
      <c r="AZB6"/>
      <c r="AZD6"/>
      <c r="AZF6"/>
      <c r="AZH6"/>
      <c r="AZJ6"/>
      <c r="AZL6"/>
      <c r="AZN6"/>
      <c r="AZP6"/>
      <c r="AZR6"/>
      <c r="AZT6"/>
      <c r="AZV6"/>
      <c r="AZX6"/>
      <c r="AZZ6"/>
      <c r="BAB6"/>
      <c r="BAD6"/>
      <c r="BAF6"/>
      <c r="BAH6"/>
      <c r="BAJ6"/>
      <c r="BAL6"/>
      <c r="BAN6"/>
      <c r="BAP6"/>
      <c r="BAR6"/>
      <c r="BAT6"/>
      <c r="BAV6"/>
      <c r="BAX6"/>
      <c r="BAZ6"/>
      <c r="BBB6"/>
      <c r="BBD6"/>
      <c r="BBF6"/>
      <c r="BBH6"/>
      <c r="BBJ6"/>
      <c r="BBL6"/>
      <c r="BBN6"/>
      <c r="BBP6"/>
      <c r="BBR6"/>
      <c r="BBT6"/>
      <c r="BBV6"/>
      <c r="BBX6"/>
      <c r="BBZ6"/>
      <c r="BCB6"/>
      <c r="BCD6"/>
      <c r="BCF6"/>
      <c r="BCH6"/>
      <c r="BCJ6"/>
      <c r="BCL6"/>
      <c r="BCN6"/>
      <c r="BCP6"/>
      <c r="BCR6"/>
      <c r="BCT6"/>
      <c r="BCV6"/>
      <c r="BCX6"/>
      <c r="BCZ6"/>
      <c r="BDB6"/>
      <c r="BDD6"/>
      <c r="BDF6"/>
      <c r="BDH6"/>
      <c r="BDJ6"/>
      <c r="BDL6"/>
      <c r="BDN6"/>
      <c r="BDP6"/>
      <c r="BDR6"/>
      <c r="BDT6"/>
      <c r="BDV6"/>
      <c r="BDX6"/>
      <c r="BDZ6"/>
      <c r="BEB6"/>
      <c r="BED6"/>
      <c r="BEF6"/>
      <c r="BEH6"/>
      <c r="BEJ6"/>
      <c r="BEL6"/>
      <c r="BEN6"/>
      <c r="BEP6"/>
      <c r="BER6"/>
      <c r="BET6"/>
      <c r="BEV6"/>
      <c r="BEX6"/>
      <c r="BEZ6"/>
      <c r="BFB6"/>
      <c r="BFD6"/>
      <c r="BFF6"/>
      <c r="BFH6"/>
      <c r="BFJ6"/>
      <c r="BFL6"/>
      <c r="BFN6"/>
      <c r="BFP6"/>
      <c r="BFR6"/>
      <c r="BFT6"/>
      <c r="BFV6"/>
      <c r="BFX6"/>
      <c r="BFZ6"/>
      <c r="BGB6"/>
      <c r="BGD6"/>
      <c r="BGF6"/>
      <c r="BGH6"/>
      <c r="BGJ6"/>
      <c r="BGL6"/>
      <c r="BGN6"/>
      <c r="BGP6"/>
      <c r="BGR6"/>
      <c r="BGT6"/>
      <c r="BGV6"/>
      <c r="BGX6"/>
      <c r="BGZ6"/>
      <c r="BHB6"/>
      <c r="BHD6"/>
      <c r="BHF6"/>
      <c r="BHH6"/>
      <c r="BHJ6"/>
      <c r="BHL6"/>
      <c r="BHN6"/>
      <c r="BHP6"/>
      <c r="BHR6"/>
      <c r="BHT6"/>
      <c r="BHV6"/>
      <c r="BHX6"/>
      <c r="BHZ6"/>
      <c r="BIB6"/>
      <c r="BID6"/>
      <c r="BIF6"/>
      <c r="BIH6"/>
      <c r="BIJ6"/>
      <c r="BIL6"/>
      <c r="BIN6"/>
      <c r="BIP6"/>
      <c r="BIR6"/>
      <c r="BIT6"/>
      <c r="BIV6"/>
      <c r="BIX6"/>
      <c r="BIZ6"/>
      <c r="BJB6"/>
      <c r="BJD6"/>
      <c r="BJF6"/>
      <c r="BJH6"/>
      <c r="BJJ6"/>
      <c r="BJL6"/>
      <c r="BJN6"/>
      <c r="BJP6"/>
      <c r="BJR6"/>
      <c r="BJT6"/>
      <c r="BJV6"/>
      <c r="BJX6"/>
      <c r="BJZ6"/>
      <c r="BKB6"/>
      <c r="BKD6"/>
      <c r="BKF6"/>
      <c r="BKH6"/>
      <c r="BKJ6"/>
      <c r="BKL6"/>
      <c r="BKN6"/>
      <c r="BKP6"/>
      <c r="BKR6"/>
      <c r="BKT6"/>
      <c r="BKV6"/>
      <c r="BKX6"/>
      <c r="BKZ6"/>
      <c r="BLB6"/>
      <c r="BLD6"/>
      <c r="BLF6"/>
      <c r="BLH6"/>
      <c r="BLJ6"/>
      <c r="BLL6"/>
      <c r="BLN6"/>
      <c r="BLP6"/>
      <c r="BLR6"/>
      <c r="BLT6"/>
      <c r="BLV6"/>
      <c r="BLX6"/>
      <c r="BLZ6"/>
      <c r="BMB6"/>
      <c r="BMD6"/>
      <c r="BMF6"/>
      <c r="BMH6"/>
      <c r="BMJ6"/>
      <c r="BML6"/>
      <c r="BMN6"/>
      <c r="BMP6"/>
      <c r="BMR6"/>
      <c r="BMT6"/>
      <c r="BMV6"/>
      <c r="BMX6"/>
      <c r="BMZ6"/>
      <c r="BNB6"/>
      <c r="BND6"/>
      <c r="BNF6"/>
      <c r="BNH6"/>
      <c r="BNJ6"/>
      <c r="BNL6"/>
      <c r="BNN6"/>
      <c r="BNP6"/>
      <c r="BNR6"/>
      <c r="BNT6"/>
      <c r="BNV6"/>
      <c r="BNX6"/>
      <c r="BNZ6"/>
      <c r="BOB6"/>
      <c r="BOD6"/>
      <c r="BOF6"/>
      <c r="BOH6"/>
      <c r="BOJ6"/>
      <c r="BOL6"/>
      <c r="BON6"/>
      <c r="BOP6"/>
      <c r="BOR6"/>
      <c r="BOT6"/>
      <c r="BOV6"/>
      <c r="BOX6"/>
      <c r="BOZ6"/>
      <c r="BPB6"/>
      <c r="BPD6"/>
      <c r="BPF6"/>
      <c r="BPH6"/>
      <c r="BPJ6"/>
      <c r="BPL6"/>
      <c r="BPN6"/>
      <c r="BPP6"/>
      <c r="BPR6"/>
      <c r="BPT6"/>
      <c r="BPV6"/>
      <c r="BPX6"/>
      <c r="BPZ6"/>
      <c r="BQB6"/>
      <c r="BQD6"/>
      <c r="BQF6"/>
      <c r="BQH6"/>
      <c r="BQJ6"/>
      <c r="BQL6"/>
      <c r="BQN6"/>
      <c r="BQP6"/>
      <c r="BQR6"/>
      <c r="BQT6"/>
      <c r="BQV6"/>
      <c r="BQX6"/>
      <c r="BQZ6"/>
      <c r="BRB6"/>
      <c r="BRD6"/>
      <c r="BRF6"/>
      <c r="BRH6"/>
      <c r="BRJ6"/>
      <c r="BRL6"/>
      <c r="BRN6"/>
      <c r="BRP6"/>
      <c r="BRR6"/>
      <c r="BRT6"/>
      <c r="BRV6"/>
      <c r="BRX6"/>
      <c r="BRZ6"/>
      <c r="BSB6"/>
      <c r="BSD6"/>
      <c r="BSF6"/>
      <c r="BSH6"/>
      <c r="BSJ6"/>
      <c r="BSL6"/>
      <c r="BSN6"/>
      <c r="BSP6"/>
      <c r="BSR6"/>
      <c r="BST6"/>
      <c r="BSV6"/>
      <c r="BSX6"/>
      <c r="BSZ6"/>
      <c r="BTB6"/>
      <c r="BTD6"/>
      <c r="BTF6"/>
      <c r="BTH6"/>
      <c r="BTJ6"/>
      <c r="BTL6"/>
      <c r="BTN6"/>
      <c r="BTP6"/>
      <c r="BTR6"/>
      <c r="BTT6"/>
      <c r="BTV6"/>
      <c r="BTX6"/>
      <c r="BTZ6"/>
      <c r="BUB6"/>
      <c r="BUD6"/>
      <c r="BUF6"/>
      <c r="BUH6"/>
      <c r="BUJ6"/>
      <c r="BUL6"/>
      <c r="BUN6"/>
      <c r="BUP6"/>
      <c r="BUR6"/>
      <c r="BUT6"/>
      <c r="BUV6"/>
      <c r="BUX6"/>
      <c r="BUZ6"/>
      <c r="BVB6"/>
      <c r="BVD6"/>
      <c r="BVF6"/>
      <c r="BVH6"/>
      <c r="BVJ6"/>
      <c r="BVL6"/>
      <c r="BVN6"/>
      <c r="BVP6"/>
      <c r="BVR6"/>
      <c r="BVT6"/>
      <c r="BVV6"/>
      <c r="BVX6"/>
      <c r="BVZ6"/>
      <c r="BWB6"/>
      <c r="BWD6"/>
      <c r="BWF6"/>
      <c r="BWH6"/>
      <c r="BWJ6"/>
      <c r="BWL6"/>
      <c r="BWN6"/>
      <c r="BWP6"/>
      <c r="BWR6"/>
      <c r="BWT6"/>
      <c r="BWV6"/>
      <c r="BWX6"/>
      <c r="BWZ6"/>
      <c r="BXB6"/>
      <c r="BXD6"/>
      <c r="BXF6"/>
      <c r="BXH6"/>
      <c r="BXJ6"/>
      <c r="BXL6"/>
      <c r="BXN6"/>
      <c r="BXP6"/>
      <c r="BXR6"/>
      <c r="BXT6"/>
      <c r="BXV6"/>
      <c r="BXX6"/>
      <c r="BXZ6"/>
      <c r="BYB6"/>
      <c r="BYD6"/>
      <c r="BYF6"/>
      <c r="BYH6"/>
      <c r="BYJ6"/>
      <c r="BYL6"/>
      <c r="BYN6"/>
      <c r="BYP6"/>
      <c r="BYR6"/>
      <c r="BYT6"/>
      <c r="BYV6"/>
      <c r="BYX6"/>
      <c r="BYZ6"/>
      <c r="BZB6"/>
      <c r="BZD6"/>
      <c r="BZF6"/>
      <c r="BZH6"/>
      <c r="BZJ6"/>
      <c r="BZL6"/>
      <c r="BZN6"/>
      <c r="BZP6"/>
      <c r="BZR6"/>
      <c r="BZT6"/>
      <c r="BZV6"/>
      <c r="BZX6"/>
      <c r="BZZ6"/>
      <c r="CAB6"/>
      <c r="CAD6"/>
      <c r="CAF6"/>
      <c r="CAH6"/>
      <c r="CAJ6"/>
      <c r="CAL6"/>
      <c r="CAN6"/>
      <c r="CAP6"/>
      <c r="CAR6"/>
      <c r="CAT6"/>
      <c r="CAV6"/>
      <c r="CAX6"/>
      <c r="CAZ6"/>
      <c r="CBB6"/>
      <c r="CBD6"/>
      <c r="CBF6"/>
      <c r="CBH6"/>
      <c r="CBJ6"/>
      <c r="CBL6"/>
      <c r="CBN6"/>
      <c r="CBP6"/>
      <c r="CBR6"/>
      <c r="CBT6"/>
      <c r="CBV6"/>
      <c r="CBX6"/>
      <c r="CBZ6"/>
      <c r="CCB6"/>
      <c r="CCD6"/>
      <c r="CCF6"/>
      <c r="CCH6"/>
      <c r="CCJ6"/>
      <c r="CCL6"/>
      <c r="CCN6"/>
      <c r="CCP6"/>
      <c r="CCR6"/>
      <c r="CCT6"/>
      <c r="CCV6"/>
      <c r="CCX6"/>
      <c r="CCZ6"/>
      <c r="CDB6"/>
      <c r="CDD6"/>
      <c r="CDF6"/>
      <c r="CDH6"/>
      <c r="CDJ6"/>
      <c r="CDL6"/>
      <c r="CDN6"/>
      <c r="CDP6"/>
      <c r="CDR6"/>
      <c r="CDT6"/>
      <c r="CDV6"/>
      <c r="CDX6"/>
      <c r="CDZ6"/>
      <c r="CEB6"/>
      <c r="CED6"/>
      <c r="CEF6"/>
      <c r="CEH6"/>
      <c r="CEJ6"/>
      <c r="CEL6"/>
      <c r="CEN6"/>
      <c r="CEP6"/>
      <c r="CER6"/>
      <c r="CET6"/>
      <c r="CEV6"/>
      <c r="CEX6"/>
      <c r="CEZ6"/>
      <c r="CFB6"/>
      <c r="CFD6"/>
      <c r="CFF6"/>
      <c r="CFH6"/>
      <c r="CFJ6"/>
      <c r="CFL6"/>
      <c r="CFN6"/>
      <c r="CFP6"/>
      <c r="CFR6"/>
      <c r="CFT6"/>
      <c r="CFV6"/>
      <c r="CFX6"/>
      <c r="CFZ6"/>
      <c r="CGB6"/>
      <c r="CGD6"/>
      <c r="CGF6"/>
      <c r="CGH6"/>
      <c r="CGJ6"/>
      <c r="CGL6"/>
      <c r="CGN6"/>
      <c r="CGP6"/>
      <c r="CGR6"/>
      <c r="CGT6"/>
      <c r="CGV6"/>
      <c r="CGX6"/>
      <c r="CGZ6"/>
      <c r="CHB6"/>
      <c r="CHD6"/>
      <c r="CHF6"/>
      <c r="CHH6"/>
      <c r="CHJ6"/>
      <c r="CHL6"/>
      <c r="CHN6"/>
      <c r="CHP6"/>
      <c r="CHR6"/>
      <c r="CHT6"/>
      <c r="CHV6"/>
      <c r="CHX6"/>
      <c r="CHZ6"/>
      <c r="CIB6"/>
      <c r="CID6"/>
      <c r="CIF6"/>
      <c r="CIH6"/>
      <c r="CIJ6"/>
      <c r="CIL6"/>
      <c r="CIN6"/>
      <c r="CIP6"/>
      <c r="CIR6"/>
      <c r="CIT6"/>
      <c r="CIV6"/>
      <c r="CIX6"/>
      <c r="CIZ6"/>
      <c r="CJB6"/>
      <c r="CJD6"/>
      <c r="CJF6"/>
      <c r="CJH6"/>
      <c r="CJJ6"/>
      <c r="CJL6"/>
      <c r="CJN6"/>
      <c r="CJP6"/>
      <c r="CJR6"/>
      <c r="CJT6"/>
      <c r="CJV6"/>
      <c r="CJX6"/>
      <c r="CJZ6"/>
      <c r="CKB6"/>
      <c r="CKD6"/>
      <c r="CKF6"/>
      <c r="CKH6"/>
      <c r="CKJ6"/>
      <c r="CKL6"/>
      <c r="CKN6"/>
      <c r="CKP6"/>
      <c r="CKR6"/>
      <c r="CKT6"/>
      <c r="CKV6"/>
      <c r="CKX6"/>
      <c r="CKZ6"/>
      <c r="CLB6"/>
      <c r="CLD6"/>
      <c r="CLF6"/>
      <c r="CLH6"/>
      <c r="CLJ6"/>
      <c r="CLL6"/>
      <c r="CLN6"/>
      <c r="CLP6"/>
      <c r="CLR6"/>
      <c r="CLT6"/>
      <c r="CLV6"/>
      <c r="CLX6"/>
      <c r="CLZ6"/>
      <c r="CMB6"/>
      <c r="CMD6"/>
      <c r="CMF6"/>
      <c r="CMH6"/>
      <c r="CMJ6"/>
      <c r="CML6"/>
      <c r="CMN6"/>
      <c r="CMP6"/>
      <c r="CMR6"/>
      <c r="CMT6"/>
      <c r="CMV6"/>
      <c r="CMX6"/>
      <c r="CMZ6"/>
      <c r="CNB6"/>
      <c r="CND6"/>
      <c r="CNF6"/>
      <c r="CNH6"/>
      <c r="CNJ6"/>
      <c r="CNL6"/>
      <c r="CNN6"/>
      <c r="CNP6"/>
      <c r="CNR6"/>
      <c r="CNT6"/>
      <c r="CNV6"/>
      <c r="CNX6"/>
      <c r="CNZ6"/>
      <c r="COB6"/>
      <c r="COD6"/>
      <c r="COF6"/>
      <c r="COH6"/>
      <c r="COJ6"/>
      <c r="COL6"/>
      <c r="CON6"/>
      <c r="COP6"/>
      <c r="COR6"/>
      <c r="COT6"/>
      <c r="COV6"/>
      <c r="COX6"/>
      <c r="COZ6"/>
      <c r="CPB6"/>
      <c r="CPD6"/>
      <c r="CPF6"/>
      <c r="CPH6"/>
      <c r="CPJ6"/>
      <c r="CPL6"/>
      <c r="CPN6"/>
      <c r="CPP6"/>
      <c r="CPR6"/>
      <c r="CPT6"/>
      <c r="CPV6"/>
      <c r="CPX6"/>
      <c r="CPZ6"/>
      <c r="CQB6"/>
      <c r="CQD6"/>
      <c r="CQF6"/>
      <c r="CQH6"/>
      <c r="CQJ6"/>
      <c r="CQL6"/>
      <c r="CQN6"/>
      <c r="CQP6"/>
      <c r="CQR6"/>
      <c r="CQT6"/>
      <c r="CQV6"/>
      <c r="CQX6"/>
      <c r="CQZ6"/>
      <c r="CRB6"/>
      <c r="CRD6"/>
      <c r="CRF6"/>
      <c r="CRH6"/>
      <c r="CRJ6"/>
      <c r="CRL6"/>
      <c r="CRN6"/>
      <c r="CRP6"/>
      <c r="CRR6"/>
      <c r="CRT6"/>
      <c r="CRV6"/>
      <c r="CRX6"/>
      <c r="CRZ6"/>
      <c r="CSB6"/>
      <c r="CSD6"/>
      <c r="CSF6"/>
      <c r="CSH6"/>
      <c r="CSJ6"/>
      <c r="CSL6"/>
      <c r="CSN6"/>
      <c r="CSP6"/>
      <c r="CSR6"/>
      <c r="CST6"/>
      <c r="CSV6"/>
      <c r="CSX6"/>
      <c r="CSZ6"/>
      <c r="CTB6"/>
      <c r="CTD6"/>
      <c r="CTF6"/>
      <c r="CTH6"/>
      <c r="CTJ6"/>
      <c r="CTL6"/>
      <c r="CTN6"/>
      <c r="CTP6"/>
      <c r="CTR6"/>
      <c r="CTT6"/>
      <c r="CTV6"/>
      <c r="CTX6"/>
      <c r="CTZ6"/>
      <c r="CUB6"/>
      <c r="CUD6"/>
      <c r="CUF6"/>
      <c r="CUH6"/>
      <c r="CUJ6"/>
      <c r="CUL6"/>
      <c r="CUN6"/>
      <c r="CUP6"/>
      <c r="CUR6"/>
      <c r="CUT6"/>
      <c r="CUV6"/>
      <c r="CUX6"/>
      <c r="CUZ6"/>
      <c r="CVB6"/>
      <c r="CVD6"/>
      <c r="CVF6"/>
      <c r="CVH6"/>
      <c r="CVJ6"/>
      <c r="CVL6"/>
      <c r="CVN6"/>
      <c r="CVP6"/>
      <c r="CVR6"/>
      <c r="CVT6"/>
      <c r="CVV6"/>
      <c r="CVX6"/>
      <c r="CVZ6"/>
      <c r="CWB6"/>
      <c r="CWD6"/>
      <c r="CWF6"/>
      <c r="CWH6"/>
      <c r="CWJ6"/>
      <c r="CWL6"/>
      <c r="CWN6"/>
      <c r="CWP6"/>
      <c r="CWR6"/>
      <c r="CWT6"/>
      <c r="CWV6"/>
      <c r="CWX6"/>
      <c r="CWZ6"/>
      <c r="CXB6"/>
      <c r="CXD6"/>
      <c r="CXF6"/>
      <c r="CXH6"/>
      <c r="CXJ6"/>
      <c r="CXL6"/>
      <c r="CXN6"/>
      <c r="CXP6"/>
      <c r="CXR6"/>
      <c r="CXT6"/>
      <c r="CXV6"/>
      <c r="CXX6"/>
      <c r="CXZ6"/>
      <c r="CYB6"/>
      <c r="CYD6"/>
      <c r="CYF6"/>
      <c r="CYH6"/>
      <c r="CYJ6"/>
      <c r="CYL6"/>
      <c r="CYN6"/>
      <c r="CYP6"/>
      <c r="CYR6"/>
      <c r="CYT6"/>
      <c r="CYV6"/>
      <c r="CYX6"/>
      <c r="CYZ6"/>
      <c r="CZB6"/>
      <c r="CZD6"/>
      <c r="CZF6"/>
      <c r="CZH6"/>
      <c r="CZJ6"/>
      <c r="CZL6"/>
      <c r="CZN6"/>
      <c r="CZP6"/>
      <c r="CZR6"/>
      <c r="CZT6"/>
      <c r="CZV6"/>
      <c r="CZX6"/>
      <c r="CZZ6"/>
      <c r="DAB6"/>
      <c r="DAD6"/>
      <c r="DAF6"/>
      <c r="DAH6"/>
      <c r="DAJ6"/>
      <c r="DAL6"/>
      <c r="DAN6"/>
      <c r="DAP6"/>
      <c r="DAR6"/>
      <c r="DAT6"/>
      <c r="DAV6"/>
      <c r="DAX6"/>
      <c r="DAZ6"/>
      <c r="DBB6"/>
      <c r="DBD6"/>
      <c r="DBF6"/>
      <c r="DBH6"/>
      <c r="DBJ6"/>
      <c r="DBL6"/>
      <c r="DBN6"/>
      <c r="DBP6"/>
      <c r="DBR6"/>
      <c r="DBT6"/>
      <c r="DBV6"/>
      <c r="DBX6"/>
      <c r="DBZ6"/>
      <c r="DCB6"/>
      <c r="DCD6"/>
      <c r="DCF6"/>
      <c r="DCH6"/>
      <c r="DCJ6"/>
      <c r="DCL6"/>
      <c r="DCN6"/>
      <c r="DCP6"/>
      <c r="DCR6"/>
      <c r="DCT6"/>
      <c r="DCV6"/>
      <c r="DCX6"/>
      <c r="DCZ6"/>
      <c r="DDB6"/>
      <c r="DDD6"/>
      <c r="DDF6"/>
      <c r="DDH6"/>
      <c r="DDJ6"/>
      <c r="DDL6"/>
      <c r="DDN6"/>
      <c r="DDP6"/>
      <c r="DDR6"/>
      <c r="DDT6"/>
      <c r="DDV6"/>
      <c r="DDX6"/>
      <c r="DDZ6"/>
      <c r="DEB6"/>
      <c r="DED6"/>
      <c r="DEF6"/>
      <c r="DEH6"/>
      <c r="DEJ6"/>
      <c r="DEL6"/>
      <c r="DEN6"/>
      <c r="DEP6"/>
      <c r="DER6"/>
      <c r="DET6"/>
      <c r="DEV6"/>
      <c r="DEX6"/>
      <c r="DEZ6"/>
      <c r="DFB6"/>
      <c r="DFD6"/>
      <c r="DFF6"/>
      <c r="DFH6"/>
      <c r="DFJ6"/>
      <c r="DFL6"/>
      <c r="DFN6"/>
      <c r="DFP6"/>
      <c r="DFR6"/>
      <c r="DFT6"/>
      <c r="DFV6"/>
      <c r="DFX6"/>
      <c r="DFZ6"/>
      <c r="DGB6"/>
      <c r="DGD6"/>
      <c r="DGF6"/>
      <c r="DGH6"/>
      <c r="DGJ6"/>
      <c r="DGL6"/>
      <c r="DGN6"/>
      <c r="DGP6"/>
      <c r="DGR6"/>
      <c r="DGT6"/>
      <c r="DGV6"/>
      <c r="DGX6"/>
      <c r="DGZ6"/>
      <c r="DHB6"/>
      <c r="DHD6"/>
      <c r="DHF6"/>
      <c r="DHH6"/>
      <c r="DHJ6"/>
      <c r="DHL6"/>
      <c r="DHN6"/>
      <c r="DHP6"/>
      <c r="DHR6"/>
      <c r="DHT6"/>
      <c r="DHV6"/>
      <c r="DHX6"/>
      <c r="DHZ6"/>
      <c r="DIB6"/>
      <c r="DID6"/>
      <c r="DIF6"/>
      <c r="DIH6"/>
      <c r="DIJ6"/>
      <c r="DIL6"/>
      <c r="DIN6"/>
      <c r="DIP6"/>
      <c r="DIR6"/>
      <c r="DIT6"/>
      <c r="DIV6"/>
      <c r="DIX6"/>
      <c r="DIZ6"/>
      <c r="DJB6"/>
      <c r="DJD6"/>
      <c r="DJF6"/>
      <c r="DJH6"/>
      <c r="DJJ6"/>
      <c r="DJL6"/>
      <c r="DJN6"/>
      <c r="DJP6"/>
      <c r="DJR6"/>
      <c r="DJT6"/>
      <c r="DJV6"/>
      <c r="DJX6"/>
      <c r="DJZ6"/>
      <c r="DKB6"/>
      <c r="DKD6"/>
      <c r="DKF6"/>
      <c r="DKH6"/>
      <c r="DKJ6"/>
      <c r="DKL6"/>
      <c r="DKN6"/>
      <c r="DKP6"/>
      <c r="DKR6"/>
      <c r="DKT6"/>
      <c r="DKV6"/>
      <c r="DKX6"/>
      <c r="DKZ6"/>
      <c r="DLB6"/>
      <c r="DLD6"/>
      <c r="DLF6"/>
      <c r="DLH6"/>
      <c r="DLJ6"/>
      <c r="DLL6"/>
      <c r="DLN6"/>
      <c r="DLP6"/>
      <c r="DLR6"/>
      <c r="DLT6"/>
      <c r="DLV6"/>
      <c r="DLX6"/>
      <c r="DLZ6"/>
      <c r="DMB6"/>
      <c r="DMD6"/>
      <c r="DMF6"/>
      <c r="DMH6"/>
      <c r="DMJ6"/>
      <c r="DML6"/>
      <c r="DMN6"/>
      <c r="DMP6"/>
      <c r="DMR6"/>
      <c r="DMT6"/>
      <c r="DMV6"/>
      <c r="DMX6"/>
      <c r="DMZ6"/>
      <c r="DNB6"/>
      <c r="DND6"/>
      <c r="DNF6"/>
      <c r="DNH6"/>
      <c r="DNJ6"/>
      <c r="DNL6"/>
      <c r="DNN6"/>
      <c r="DNP6"/>
      <c r="DNR6"/>
      <c r="DNT6"/>
      <c r="DNV6"/>
      <c r="DNX6"/>
      <c r="DNZ6"/>
      <c r="DOB6"/>
      <c r="DOD6"/>
      <c r="DOF6"/>
      <c r="DOH6"/>
      <c r="DOJ6"/>
      <c r="DOL6"/>
      <c r="DON6"/>
      <c r="DOP6"/>
      <c r="DOR6"/>
      <c r="DOT6"/>
      <c r="DOV6"/>
      <c r="DOX6"/>
      <c r="DOZ6"/>
      <c r="DPB6"/>
      <c r="DPD6"/>
      <c r="DPF6"/>
      <c r="DPH6"/>
      <c r="DPJ6"/>
      <c r="DPL6"/>
      <c r="DPN6"/>
      <c r="DPP6"/>
      <c r="DPR6"/>
      <c r="DPT6"/>
      <c r="DPV6"/>
      <c r="DPX6"/>
      <c r="DPZ6"/>
      <c r="DQB6"/>
      <c r="DQD6"/>
      <c r="DQF6"/>
      <c r="DQH6"/>
      <c r="DQJ6"/>
      <c r="DQL6"/>
      <c r="DQN6"/>
      <c r="DQP6"/>
      <c r="DQR6"/>
      <c r="DQT6"/>
      <c r="DQV6"/>
      <c r="DQX6"/>
      <c r="DQZ6"/>
      <c r="DRB6"/>
      <c r="DRD6"/>
      <c r="DRF6"/>
      <c r="DRH6"/>
      <c r="DRJ6"/>
      <c r="DRL6"/>
      <c r="DRN6"/>
      <c r="DRP6"/>
      <c r="DRR6"/>
      <c r="DRT6"/>
      <c r="DRV6"/>
      <c r="DRX6"/>
      <c r="DRZ6"/>
      <c r="DSB6"/>
      <c r="DSD6"/>
      <c r="DSF6"/>
      <c r="DSH6"/>
      <c r="DSJ6"/>
      <c r="DSL6"/>
      <c r="DSN6"/>
      <c r="DSP6"/>
      <c r="DSR6"/>
      <c r="DST6"/>
      <c r="DSV6"/>
      <c r="DSX6"/>
      <c r="DSZ6"/>
      <c r="DTB6"/>
      <c r="DTD6"/>
      <c r="DTF6"/>
      <c r="DTH6"/>
      <c r="DTJ6"/>
      <c r="DTL6"/>
      <c r="DTN6"/>
      <c r="DTP6"/>
      <c r="DTR6"/>
      <c r="DTT6"/>
      <c r="DTV6"/>
      <c r="DTX6"/>
      <c r="DTZ6"/>
      <c r="DUB6"/>
      <c r="DUD6"/>
      <c r="DUF6"/>
      <c r="DUH6"/>
      <c r="DUJ6"/>
      <c r="DUL6"/>
      <c r="DUN6"/>
      <c r="DUP6"/>
      <c r="DUR6"/>
      <c r="DUT6"/>
      <c r="DUV6"/>
      <c r="DUX6"/>
      <c r="DUZ6"/>
      <c r="DVB6"/>
      <c r="DVD6"/>
      <c r="DVF6"/>
      <c r="DVH6"/>
      <c r="DVJ6"/>
      <c r="DVL6"/>
      <c r="DVN6"/>
      <c r="DVP6"/>
      <c r="DVR6"/>
      <c r="DVT6"/>
      <c r="DVV6"/>
      <c r="DVX6"/>
      <c r="DVZ6"/>
      <c r="DWB6"/>
      <c r="DWD6"/>
      <c r="DWF6"/>
      <c r="DWH6"/>
      <c r="DWJ6"/>
      <c r="DWL6"/>
      <c r="DWN6"/>
      <c r="DWP6"/>
      <c r="DWR6"/>
      <c r="DWT6"/>
      <c r="DWV6"/>
      <c r="DWX6"/>
      <c r="DWZ6"/>
      <c r="DXB6"/>
      <c r="DXD6"/>
      <c r="DXF6"/>
      <c r="DXH6"/>
      <c r="DXJ6"/>
      <c r="DXL6"/>
      <c r="DXN6"/>
      <c r="DXP6"/>
      <c r="DXR6"/>
      <c r="DXT6"/>
      <c r="DXV6"/>
      <c r="DXX6"/>
      <c r="DXZ6"/>
      <c r="DYB6"/>
      <c r="DYD6"/>
      <c r="DYF6"/>
      <c r="DYH6"/>
      <c r="DYJ6"/>
      <c r="DYL6"/>
      <c r="DYN6"/>
      <c r="DYP6"/>
      <c r="DYR6"/>
      <c r="DYT6"/>
      <c r="DYV6"/>
      <c r="DYX6"/>
      <c r="DYZ6"/>
      <c r="DZB6"/>
      <c r="DZD6"/>
      <c r="DZF6"/>
      <c r="DZH6"/>
      <c r="DZJ6"/>
      <c r="DZL6"/>
      <c r="DZN6"/>
      <c r="DZP6"/>
      <c r="DZR6"/>
      <c r="DZT6"/>
      <c r="DZV6"/>
      <c r="DZX6"/>
      <c r="DZZ6"/>
      <c r="EAB6"/>
      <c r="EAD6"/>
      <c r="EAF6"/>
      <c r="EAH6"/>
      <c r="EAJ6"/>
      <c r="EAL6"/>
      <c r="EAN6"/>
      <c r="EAP6"/>
      <c r="EAR6"/>
      <c r="EAT6"/>
      <c r="EAV6"/>
      <c r="EAX6"/>
      <c r="EAZ6"/>
      <c r="EBB6"/>
      <c r="EBD6"/>
      <c r="EBF6"/>
      <c r="EBH6"/>
      <c r="EBJ6"/>
      <c r="EBL6"/>
      <c r="EBN6"/>
      <c r="EBP6"/>
      <c r="EBR6"/>
      <c r="EBT6"/>
      <c r="EBV6"/>
      <c r="EBX6"/>
      <c r="EBZ6"/>
      <c r="ECB6"/>
      <c r="ECD6"/>
      <c r="ECF6"/>
      <c r="ECH6"/>
      <c r="ECJ6"/>
      <c r="ECL6"/>
      <c r="ECN6"/>
      <c r="ECP6"/>
      <c r="ECR6"/>
      <c r="ECT6"/>
      <c r="ECV6"/>
      <c r="ECX6"/>
      <c r="ECZ6"/>
      <c r="EDB6"/>
      <c r="EDD6"/>
      <c r="EDF6"/>
      <c r="EDH6"/>
      <c r="EDJ6"/>
      <c r="EDL6"/>
      <c r="EDN6"/>
      <c r="EDP6"/>
      <c r="EDR6"/>
      <c r="EDT6"/>
      <c r="EDV6"/>
      <c r="EDX6"/>
      <c r="EDZ6"/>
      <c r="EEB6"/>
      <c r="EED6"/>
      <c r="EEF6"/>
      <c r="EEH6"/>
      <c r="EEJ6"/>
      <c r="EEL6"/>
      <c r="EEN6"/>
      <c r="EEP6"/>
      <c r="EER6"/>
      <c r="EET6"/>
      <c r="EEV6"/>
      <c r="EEX6"/>
      <c r="EEZ6"/>
      <c r="EFB6"/>
      <c r="EFD6"/>
      <c r="EFF6"/>
      <c r="EFH6"/>
      <c r="EFJ6"/>
      <c r="EFL6"/>
      <c r="EFN6"/>
      <c r="EFP6"/>
      <c r="EFR6"/>
      <c r="EFT6"/>
      <c r="EFV6"/>
      <c r="EFX6"/>
      <c r="EFZ6"/>
      <c r="EGB6"/>
      <c r="EGD6"/>
      <c r="EGF6"/>
      <c r="EGH6"/>
      <c r="EGJ6"/>
      <c r="EGL6"/>
      <c r="EGN6"/>
      <c r="EGP6"/>
      <c r="EGR6"/>
      <c r="EGT6"/>
      <c r="EGV6"/>
      <c r="EGX6"/>
      <c r="EGZ6"/>
      <c r="EHB6"/>
      <c r="EHD6"/>
      <c r="EHF6"/>
      <c r="EHH6"/>
      <c r="EHJ6"/>
      <c r="EHL6"/>
      <c r="EHN6"/>
      <c r="EHP6"/>
      <c r="EHR6"/>
      <c r="EHT6"/>
      <c r="EHV6"/>
      <c r="EHX6"/>
      <c r="EHZ6"/>
      <c r="EIB6"/>
      <c r="EID6"/>
      <c r="EIF6"/>
      <c r="EIH6"/>
      <c r="EIJ6"/>
      <c r="EIL6"/>
      <c r="EIN6"/>
      <c r="EIP6"/>
      <c r="EIR6"/>
      <c r="EIT6"/>
      <c r="EIV6"/>
      <c r="EIX6"/>
      <c r="EIZ6"/>
      <c r="EJB6"/>
      <c r="EJD6"/>
      <c r="EJF6"/>
      <c r="EJH6"/>
      <c r="EJJ6"/>
      <c r="EJL6"/>
      <c r="EJN6"/>
      <c r="EJP6"/>
      <c r="EJR6"/>
      <c r="EJT6"/>
      <c r="EJV6"/>
      <c r="EJX6"/>
      <c r="EJZ6"/>
      <c r="EKB6"/>
      <c r="EKD6"/>
      <c r="EKF6"/>
      <c r="EKH6"/>
      <c r="EKJ6"/>
      <c r="EKL6"/>
      <c r="EKN6"/>
      <c r="EKP6"/>
      <c r="EKR6"/>
      <c r="EKT6"/>
      <c r="EKV6"/>
      <c r="EKX6"/>
      <c r="EKZ6"/>
      <c r="ELB6"/>
      <c r="ELD6"/>
      <c r="ELF6"/>
      <c r="ELH6"/>
      <c r="ELJ6"/>
      <c r="ELL6"/>
      <c r="ELN6"/>
      <c r="ELP6"/>
      <c r="ELR6"/>
      <c r="ELT6"/>
      <c r="ELV6"/>
      <c r="ELX6"/>
      <c r="ELZ6"/>
      <c r="EMB6"/>
      <c r="EMD6"/>
      <c r="EMF6"/>
      <c r="EMH6"/>
      <c r="EMJ6"/>
      <c r="EML6"/>
      <c r="EMN6"/>
      <c r="EMP6"/>
      <c r="EMR6"/>
      <c r="EMT6"/>
      <c r="EMV6"/>
      <c r="EMX6"/>
      <c r="EMZ6"/>
      <c r="ENB6"/>
      <c r="END6"/>
      <c r="ENF6"/>
      <c r="ENH6"/>
      <c r="ENJ6"/>
      <c r="ENL6"/>
      <c r="ENN6"/>
      <c r="ENP6"/>
      <c r="ENR6"/>
      <c r="ENT6"/>
      <c r="ENV6"/>
      <c r="ENX6"/>
      <c r="ENZ6"/>
      <c r="EOB6"/>
      <c r="EOD6"/>
      <c r="EOF6"/>
      <c r="EOH6"/>
      <c r="EOJ6"/>
      <c r="EOL6"/>
      <c r="EON6"/>
      <c r="EOP6"/>
      <c r="EOR6"/>
      <c r="EOT6"/>
      <c r="EOV6"/>
      <c r="EOX6"/>
      <c r="EOZ6"/>
      <c r="EPB6"/>
      <c r="EPD6"/>
      <c r="EPF6"/>
      <c r="EPH6"/>
      <c r="EPJ6"/>
      <c r="EPL6"/>
      <c r="EPN6"/>
      <c r="EPP6"/>
      <c r="EPR6"/>
      <c r="EPT6"/>
      <c r="EPV6"/>
      <c r="EPX6"/>
      <c r="EPZ6"/>
      <c r="EQB6"/>
      <c r="EQD6"/>
      <c r="EQF6"/>
      <c r="EQH6"/>
      <c r="EQJ6"/>
      <c r="EQL6"/>
      <c r="EQN6"/>
      <c r="EQP6"/>
      <c r="EQR6"/>
      <c r="EQT6"/>
      <c r="EQV6"/>
      <c r="EQX6"/>
      <c r="EQZ6"/>
      <c r="ERB6"/>
      <c r="ERD6"/>
      <c r="ERF6"/>
      <c r="ERH6"/>
      <c r="ERJ6"/>
      <c r="ERL6"/>
      <c r="ERN6"/>
      <c r="ERP6"/>
      <c r="ERR6"/>
      <c r="ERT6"/>
      <c r="ERV6"/>
      <c r="ERX6"/>
      <c r="ERZ6"/>
      <c r="ESB6"/>
      <c r="ESD6"/>
      <c r="ESF6"/>
      <c r="ESH6"/>
      <c r="ESJ6"/>
      <c r="ESL6"/>
      <c r="ESN6"/>
      <c r="ESP6"/>
      <c r="ESR6"/>
      <c r="EST6"/>
      <c r="ESV6"/>
      <c r="ESX6"/>
      <c r="ESZ6"/>
      <c r="ETB6"/>
      <c r="ETD6"/>
      <c r="ETF6"/>
      <c r="ETH6"/>
      <c r="ETJ6"/>
      <c r="ETL6"/>
      <c r="ETN6"/>
      <c r="ETP6"/>
      <c r="ETR6"/>
      <c r="ETT6"/>
      <c r="ETV6"/>
      <c r="ETX6"/>
      <c r="ETZ6"/>
      <c r="EUB6"/>
      <c r="EUD6"/>
      <c r="EUF6"/>
      <c r="EUH6"/>
      <c r="EUJ6"/>
      <c r="EUL6"/>
      <c r="EUN6"/>
      <c r="EUP6"/>
      <c r="EUR6"/>
      <c r="EUT6"/>
      <c r="EUV6"/>
      <c r="EUX6"/>
      <c r="EUZ6"/>
      <c r="EVB6"/>
      <c r="EVD6"/>
      <c r="EVF6"/>
      <c r="EVH6"/>
      <c r="EVJ6"/>
      <c r="EVL6"/>
      <c r="EVN6"/>
      <c r="EVP6"/>
      <c r="EVR6"/>
      <c r="EVT6"/>
      <c r="EVV6"/>
      <c r="EVX6"/>
      <c r="EVZ6"/>
      <c r="EWB6"/>
      <c r="EWD6"/>
      <c r="EWF6"/>
      <c r="EWH6"/>
      <c r="EWJ6"/>
      <c r="EWL6"/>
      <c r="EWN6"/>
      <c r="EWP6"/>
      <c r="EWR6"/>
      <c r="EWT6"/>
      <c r="EWV6"/>
      <c r="EWX6"/>
      <c r="EWZ6"/>
      <c r="EXB6"/>
      <c r="EXD6"/>
      <c r="EXF6"/>
      <c r="EXH6"/>
      <c r="EXJ6"/>
      <c r="EXL6"/>
      <c r="EXN6"/>
      <c r="EXP6"/>
      <c r="EXR6"/>
      <c r="EXT6"/>
      <c r="EXV6"/>
      <c r="EXX6"/>
      <c r="EXZ6"/>
      <c r="EYB6"/>
      <c r="EYD6"/>
      <c r="EYF6"/>
      <c r="EYH6"/>
      <c r="EYJ6"/>
      <c r="EYL6"/>
      <c r="EYN6"/>
      <c r="EYP6"/>
      <c r="EYR6"/>
      <c r="EYT6"/>
      <c r="EYV6"/>
      <c r="EYX6"/>
      <c r="EYZ6"/>
      <c r="EZB6"/>
      <c r="EZD6"/>
      <c r="EZF6"/>
      <c r="EZH6"/>
      <c r="EZJ6"/>
      <c r="EZL6"/>
      <c r="EZN6"/>
      <c r="EZP6"/>
      <c r="EZR6"/>
      <c r="EZT6"/>
      <c r="EZV6"/>
      <c r="EZX6"/>
      <c r="EZZ6"/>
      <c r="FAB6"/>
      <c r="FAD6"/>
      <c r="FAF6"/>
      <c r="FAH6"/>
      <c r="FAJ6"/>
      <c r="FAL6"/>
      <c r="FAN6"/>
      <c r="FAP6"/>
      <c r="FAR6"/>
      <c r="FAT6"/>
      <c r="FAV6"/>
      <c r="FAX6"/>
      <c r="FAZ6"/>
      <c r="FBB6"/>
      <c r="FBD6"/>
      <c r="FBF6"/>
      <c r="FBH6"/>
      <c r="FBJ6"/>
      <c r="FBL6"/>
      <c r="FBN6"/>
      <c r="FBP6"/>
      <c r="FBR6"/>
      <c r="FBT6"/>
      <c r="FBV6"/>
      <c r="FBX6"/>
      <c r="FBZ6"/>
      <c r="FCB6"/>
      <c r="FCD6"/>
      <c r="FCF6"/>
      <c r="FCH6"/>
      <c r="FCJ6"/>
      <c r="FCL6"/>
      <c r="FCN6"/>
      <c r="FCP6"/>
      <c r="FCR6"/>
      <c r="FCT6"/>
      <c r="FCV6"/>
      <c r="FCX6"/>
      <c r="FCZ6"/>
      <c r="FDB6"/>
      <c r="FDD6"/>
      <c r="FDF6"/>
      <c r="FDH6"/>
      <c r="FDJ6"/>
      <c r="FDL6"/>
      <c r="FDN6"/>
      <c r="FDP6"/>
      <c r="FDR6"/>
      <c r="FDT6"/>
      <c r="FDV6"/>
      <c r="FDX6"/>
      <c r="FDZ6"/>
      <c r="FEB6"/>
      <c r="FED6"/>
      <c r="FEF6"/>
      <c r="FEH6"/>
      <c r="FEJ6"/>
      <c r="FEL6"/>
      <c r="FEN6"/>
      <c r="FEP6"/>
      <c r="FER6"/>
      <c r="FET6"/>
      <c r="FEV6"/>
      <c r="FEX6"/>
      <c r="FEZ6"/>
      <c r="FFB6"/>
      <c r="FFD6"/>
      <c r="FFF6"/>
      <c r="FFH6"/>
      <c r="FFJ6"/>
      <c r="FFL6"/>
      <c r="FFN6"/>
      <c r="FFP6"/>
      <c r="FFR6"/>
      <c r="FFT6"/>
      <c r="FFV6"/>
      <c r="FFX6"/>
      <c r="FFZ6"/>
      <c r="FGB6"/>
      <c r="FGD6"/>
      <c r="FGF6"/>
      <c r="FGH6"/>
      <c r="FGJ6"/>
      <c r="FGL6"/>
      <c r="FGN6"/>
      <c r="FGP6"/>
      <c r="FGR6"/>
      <c r="FGT6"/>
      <c r="FGV6"/>
      <c r="FGX6"/>
      <c r="FGZ6"/>
      <c r="FHB6"/>
      <c r="FHD6"/>
      <c r="FHF6"/>
      <c r="FHH6"/>
      <c r="FHJ6"/>
      <c r="FHL6"/>
      <c r="FHN6"/>
      <c r="FHP6"/>
      <c r="FHR6"/>
      <c r="FHT6"/>
      <c r="FHV6"/>
      <c r="FHX6"/>
      <c r="FHZ6"/>
      <c r="FIB6"/>
      <c r="FID6"/>
      <c r="FIF6"/>
      <c r="FIH6"/>
      <c r="FIJ6"/>
      <c r="FIL6"/>
      <c r="FIN6"/>
      <c r="FIP6"/>
      <c r="FIR6"/>
      <c r="FIT6"/>
      <c r="FIV6"/>
      <c r="FIX6"/>
      <c r="FIZ6"/>
      <c r="FJB6"/>
      <c r="FJD6"/>
      <c r="FJF6"/>
      <c r="FJH6"/>
      <c r="FJJ6"/>
      <c r="FJL6"/>
      <c r="FJN6"/>
      <c r="FJP6"/>
      <c r="FJR6"/>
      <c r="FJT6"/>
      <c r="FJV6"/>
      <c r="FJX6"/>
      <c r="FJZ6"/>
      <c r="FKB6"/>
      <c r="FKD6"/>
      <c r="FKF6"/>
      <c r="FKH6"/>
      <c r="FKJ6"/>
      <c r="FKL6"/>
      <c r="FKN6"/>
      <c r="FKP6"/>
      <c r="FKR6"/>
      <c r="FKT6"/>
      <c r="FKV6"/>
      <c r="FKX6"/>
      <c r="FKZ6"/>
      <c r="FLB6"/>
      <c r="FLD6"/>
      <c r="FLF6"/>
      <c r="FLH6"/>
      <c r="FLJ6"/>
      <c r="FLL6"/>
      <c r="FLN6"/>
      <c r="FLP6"/>
      <c r="FLR6"/>
      <c r="FLT6"/>
      <c r="FLV6"/>
      <c r="FLX6"/>
      <c r="FLZ6"/>
      <c r="FMB6"/>
      <c r="FMD6"/>
      <c r="FMF6"/>
      <c r="FMH6"/>
      <c r="FMJ6"/>
      <c r="FML6"/>
      <c r="FMN6"/>
      <c r="FMP6"/>
      <c r="FMR6"/>
      <c r="FMT6"/>
      <c r="FMV6"/>
      <c r="FMX6"/>
      <c r="FMZ6"/>
      <c r="FNB6"/>
      <c r="FND6"/>
      <c r="FNF6"/>
      <c r="FNH6"/>
      <c r="FNJ6"/>
      <c r="FNL6"/>
      <c r="FNN6"/>
      <c r="FNP6"/>
      <c r="FNR6"/>
      <c r="FNT6"/>
      <c r="FNV6"/>
      <c r="FNX6"/>
      <c r="FNZ6"/>
      <c r="FOB6"/>
      <c r="FOD6"/>
      <c r="FOF6"/>
      <c r="FOH6"/>
      <c r="FOJ6"/>
      <c r="FOL6"/>
      <c r="FON6"/>
      <c r="FOP6"/>
      <c r="FOR6"/>
      <c r="FOT6"/>
      <c r="FOV6"/>
      <c r="FOX6"/>
      <c r="FOZ6"/>
      <c r="FPB6"/>
      <c r="FPD6"/>
      <c r="FPF6"/>
      <c r="FPH6"/>
      <c r="FPJ6"/>
      <c r="FPL6"/>
      <c r="FPN6"/>
      <c r="FPP6"/>
      <c r="FPR6"/>
      <c r="FPT6"/>
      <c r="FPV6"/>
      <c r="FPX6"/>
      <c r="FPZ6"/>
      <c r="FQB6"/>
      <c r="FQD6"/>
      <c r="FQF6"/>
      <c r="FQH6"/>
      <c r="FQJ6"/>
      <c r="FQL6"/>
      <c r="FQN6"/>
      <c r="FQP6"/>
      <c r="FQR6"/>
      <c r="FQT6"/>
      <c r="FQV6"/>
      <c r="FQX6"/>
      <c r="FQZ6"/>
      <c r="FRB6"/>
      <c r="FRD6"/>
      <c r="FRF6"/>
      <c r="FRH6"/>
      <c r="FRJ6"/>
      <c r="FRL6"/>
      <c r="FRN6"/>
      <c r="FRP6"/>
      <c r="FRR6"/>
      <c r="FRT6"/>
      <c r="FRV6"/>
      <c r="FRX6"/>
      <c r="FRZ6"/>
      <c r="FSB6"/>
      <c r="FSD6"/>
      <c r="FSF6"/>
      <c r="FSH6"/>
      <c r="FSJ6"/>
      <c r="FSL6"/>
      <c r="FSN6"/>
      <c r="FSP6"/>
      <c r="FSR6"/>
      <c r="FST6"/>
      <c r="FSV6"/>
      <c r="FSX6"/>
      <c r="FSZ6"/>
      <c r="FTB6"/>
      <c r="FTD6"/>
      <c r="FTF6"/>
      <c r="FTH6"/>
      <c r="FTJ6"/>
      <c r="FTL6"/>
      <c r="FTN6"/>
      <c r="FTP6"/>
      <c r="FTR6"/>
      <c r="FTT6"/>
      <c r="FTV6"/>
      <c r="FTX6"/>
      <c r="FTZ6"/>
      <c r="FUB6"/>
      <c r="FUD6"/>
      <c r="FUF6"/>
      <c r="FUH6"/>
      <c r="FUJ6"/>
      <c r="FUL6"/>
      <c r="FUN6"/>
      <c r="FUP6"/>
      <c r="FUR6"/>
      <c r="FUT6"/>
      <c r="FUV6"/>
      <c r="FUX6"/>
      <c r="FUZ6"/>
      <c r="FVB6"/>
      <c r="FVD6"/>
      <c r="FVF6"/>
      <c r="FVH6"/>
      <c r="FVJ6"/>
      <c r="FVL6"/>
      <c r="FVN6"/>
      <c r="FVP6"/>
      <c r="FVR6"/>
      <c r="FVT6"/>
      <c r="FVV6"/>
      <c r="FVX6"/>
      <c r="FVZ6"/>
      <c r="FWB6"/>
      <c r="FWD6"/>
      <c r="FWF6"/>
      <c r="FWH6"/>
      <c r="FWJ6"/>
      <c r="FWL6"/>
      <c r="FWN6"/>
      <c r="FWP6"/>
      <c r="FWR6"/>
      <c r="FWT6"/>
      <c r="FWV6"/>
      <c r="FWX6"/>
      <c r="FWZ6"/>
      <c r="FXB6"/>
      <c r="FXD6"/>
      <c r="FXF6"/>
      <c r="FXH6"/>
      <c r="FXJ6"/>
      <c r="FXL6"/>
      <c r="FXN6"/>
      <c r="FXP6"/>
      <c r="FXR6"/>
      <c r="FXT6"/>
      <c r="FXV6"/>
      <c r="FXX6"/>
      <c r="FXZ6"/>
      <c r="FYB6"/>
      <c r="FYD6"/>
      <c r="FYF6"/>
      <c r="FYH6"/>
      <c r="FYJ6"/>
      <c r="FYL6"/>
      <c r="FYN6"/>
      <c r="FYP6"/>
      <c r="FYR6"/>
      <c r="FYT6"/>
      <c r="FYV6"/>
      <c r="FYX6"/>
      <c r="FYZ6"/>
      <c r="FZB6"/>
      <c r="FZD6"/>
      <c r="FZF6"/>
      <c r="FZH6"/>
      <c r="FZJ6"/>
      <c r="FZL6"/>
      <c r="FZN6"/>
      <c r="FZP6"/>
      <c r="FZR6"/>
      <c r="FZT6"/>
      <c r="FZV6"/>
      <c r="FZX6"/>
      <c r="FZZ6"/>
      <c r="GAB6"/>
      <c r="GAD6"/>
      <c r="GAF6"/>
      <c r="GAH6"/>
      <c r="GAJ6"/>
      <c r="GAL6"/>
      <c r="GAN6"/>
      <c r="GAP6"/>
      <c r="GAR6"/>
      <c r="GAT6"/>
      <c r="GAV6"/>
      <c r="GAX6"/>
      <c r="GAZ6"/>
      <c r="GBB6"/>
      <c r="GBD6"/>
      <c r="GBF6"/>
      <c r="GBH6"/>
      <c r="GBJ6"/>
      <c r="GBL6"/>
      <c r="GBN6"/>
      <c r="GBP6"/>
      <c r="GBR6"/>
      <c r="GBT6"/>
      <c r="GBV6"/>
      <c r="GBX6"/>
      <c r="GBZ6"/>
      <c r="GCB6"/>
      <c r="GCD6"/>
      <c r="GCF6"/>
      <c r="GCH6"/>
      <c r="GCJ6"/>
      <c r="GCL6"/>
      <c r="GCN6"/>
      <c r="GCP6"/>
      <c r="GCR6"/>
      <c r="GCT6"/>
      <c r="GCV6"/>
      <c r="GCX6"/>
      <c r="GCZ6"/>
      <c r="GDB6"/>
      <c r="GDD6"/>
      <c r="GDF6"/>
      <c r="GDH6"/>
      <c r="GDJ6"/>
      <c r="GDL6"/>
      <c r="GDN6"/>
      <c r="GDP6"/>
      <c r="GDR6"/>
      <c r="GDT6"/>
      <c r="GDV6"/>
      <c r="GDX6"/>
      <c r="GDZ6"/>
      <c r="GEB6"/>
      <c r="GED6"/>
      <c r="GEF6"/>
      <c r="GEH6"/>
      <c r="GEJ6"/>
      <c r="GEL6"/>
      <c r="GEN6"/>
      <c r="GEP6"/>
      <c r="GER6"/>
      <c r="GET6"/>
      <c r="GEV6"/>
      <c r="GEX6"/>
      <c r="GEZ6"/>
      <c r="GFB6"/>
      <c r="GFD6"/>
      <c r="GFF6"/>
      <c r="GFH6"/>
      <c r="GFJ6"/>
      <c r="GFL6"/>
      <c r="GFN6"/>
      <c r="GFP6"/>
      <c r="GFR6"/>
      <c r="GFT6"/>
      <c r="GFV6"/>
      <c r="GFX6"/>
      <c r="GFZ6"/>
      <c r="GGB6"/>
      <c r="GGD6"/>
      <c r="GGF6"/>
      <c r="GGH6"/>
      <c r="GGJ6"/>
      <c r="GGL6"/>
      <c r="GGN6"/>
      <c r="GGP6"/>
      <c r="GGR6"/>
      <c r="GGT6"/>
      <c r="GGV6"/>
      <c r="GGX6"/>
      <c r="GGZ6"/>
      <c r="GHB6"/>
      <c r="GHD6"/>
      <c r="GHF6"/>
      <c r="GHH6"/>
      <c r="GHJ6"/>
      <c r="GHL6"/>
      <c r="GHN6"/>
      <c r="GHP6"/>
      <c r="GHR6"/>
      <c r="GHT6"/>
      <c r="GHV6"/>
      <c r="GHX6"/>
      <c r="GHZ6"/>
      <c r="GIB6"/>
      <c r="GID6"/>
      <c r="GIF6"/>
      <c r="GIH6"/>
      <c r="GIJ6"/>
      <c r="GIL6"/>
      <c r="GIN6"/>
      <c r="GIP6"/>
      <c r="GIR6"/>
      <c r="GIT6"/>
      <c r="GIV6"/>
      <c r="GIX6"/>
      <c r="GIZ6"/>
      <c r="GJB6"/>
      <c r="GJD6"/>
      <c r="GJF6"/>
      <c r="GJH6"/>
      <c r="GJJ6"/>
      <c r="GJL6"/>
      <c r="GJN6"/>
      <c r="GJP6"/>
      <c r="GJR6"/>
      <c r="GJT6"/>
      <c r="GJV6"/>
      <c r="GJX6"/>
      <c r="GJZ6"/>
      <c r="GKB6"/>
      <c r="GKD6"/>
      <c r="GKF6"/>
      <c r="GKH6"/>
      <c r="GKJ6"/>
      <c r="GKL6"/>
      <c r="GKN6"/>
      <c r="GKP6"/>
      <c r="GKR6"/>
      <c r="GKT6"/>
      <c r="GKV6"/>
      <c r="GKX6"/>
      <c r="GKZ6"/>
      <c r="GLB6"/>
      <c r="GLD6"/>
      <c r="GLF6"/>
      <c r="GLH6"/>
      <c r="GLJ6"/>
      <c r="GLL6"/>
      <c r="GLN6"/>
      <c r="GLP6"/>
      <c r="GLR6"/>
      <c r="GLT6"/>
      <c r="GLV6"/>
      <c r="GLX6"/>
      <c r="GLZ6"/>
      <c r="GMB6"/>
      <c r="GMD6"/>
      <c r="GMF6"/>
      <c r="GMH6"/>
      <c r="GMJ6"/>
      <c r="GML6"/>
      <c r="GMN6"/>
      <c r="GMP6"/>
      <c r="GMR6"/>
      <c r="GMT6"/>
      <c r="GMV6"/>
      <c r="GMX6"/>
      <c r="GMZ6"/>
      <c r="GNB6"/>
      <c r="GND6"/>
      <c r="GNF6"/>
      <c r="GNH6"/>
      <c r="GNJ6"/>
      <c r="GNL6"/>
      <c r="GNN6"/>
      <c r="GNP6"/>
      <c r="GNR6"/>
      <c r="GNT6"/>
      <c r="GNV6"/>
      <c r="GNX6"/>
      <c r="GNZ6"/>
      <c r="GOB6"/>
      <c r="GOD6"/>
      <c r="GOF6"/>
      <c r="GOH6"/>
      <c r="GOJ6"/>
      <c r="GOL6"/>
      <c r="GON6"/>
      <c r="GOP6"/>
      <c r="GOR6"/>
      <c r="GOT6"/>
      <c r="GOV6"/>
      <c r="GOX6"/>
      <c r="GOZ6"/>
      <c r="GPB6"/>
      <c r="GPD6"/>
      <c r="GPF6"/>
      <c r="GPH6"/>
      <c r="GPJ6"/>
      <c r="GPL6"/>
      <c r="GPN6"/>
      <c r="GPP6"/>
      <c r="GPR6"/>
      <c r="GPT6"/>
      <c r="GPV6"/>
      <c r="GPX6"/>
      <c r="GPZ6"/>
      <c r="GQB6"/>
      <c r="GQD6"/>
      <c r="GQF6"/>
      <c r="GQH6"/>
      <c r="GQJ6"/>
      <c r="GQL6"/>
      <c r="GQN6"/>
      <c r="GQP6"/>
      <c r="GQR6"/>
      <c r="GQT6"/>
      <c r="GQV6"/>
      <c r="GQX6"/>
      <c r="GQZ6"/>
      <c r="GRB6"/>
      <c r="GRD6"/>
      <c r="GRF6"/>
      <c r="GRH6"/>
      <c r="GRJ6"/>
      <c r="GRL6"/>
      <c r="GRN6"/>
      <c r="GRP6"/>
      <c r="GRR6"/>
      <c r="GRT6"/>
      <c r="GRV6"/>
      <c r="GRX6"/>
      <c r="GRZ6"/>
      <c r="GSB6"/>
      <c r="GSD6"/>
      <c r="GSF6"/>
      <c r="GSH6"/>
      <c r="GSJ6"/>
      <c r="GSL6"/>
      <c r="GSN6"/>
      <c r="GSP6"/>
      <c r="GSR6"/>
      <c r="GST6"/>
      <c r="GSV6"/>
      <c r="GSX6"/>
      <c r="GSZ6"/>
      <c r="GTB6"/>
      <c r="GTD6"/>
      <c r="GTF6"/>
      <c r="GTH6"/>
      <c r="GTJ6"/>
      <c r="GTL6"/>
      <c r="GTN6"/>
      <c r="GTP6"/>
      <c r="GTR6"/>
      <c r="GTT6"/>
      <c r="GTV6"/>
      <c r="GTX6"/>
      <c r="GTZ6"/>
      <c r="GUB6"/>
      <c r="GUD6"/>
      <c r="GUF6"/>
      <c r="GUH6"/>
      <c r="GUJ6"/>
      <c r="GUL6"/>
      <c r="GUN6"/>
      <c r="GUP6"/>
      <c r="GUR6"/>
      <c r="GUT6"/>
      <c r="GUV6"/>
      <c r="GUX6"/>
      <c r="GUZ6"/>
      <c r="GVB6"/>
      <c r="GVD6"/>
      <c r="GVF6"/>
      <c r="GVH6"/>
      <c r="GVJ6"/>
      <c r="GVL6"/>
      <c r="GVN6"/>
      <c r="GVP6"/>
      <c r="GVR6"/>
      <c r="GVT6"/>
      <c r="GVV6"/>
      <c r="GVX6"/>
      <c r="GVZ6"/>
      <c r="GWB6"/>
      <c r="GWD6"/>
      <c r="GWF6"/>
      <c r="GWH6"/>
      <c r="GWJ6"/>
      <c r="GWL6"/>
      <c r="GWN6"/>
      <c r="GWP6"/>
      <c r="GWR6"/>
      <c r="GWT6"/>
      <c r="GWV6"/>
      <c r="GWX6"/>
      <c r="GWZ6"/>
      <c r="GXB6"/>
      <c r="GXD6"/>
      <c r="GXF6"/>
      <c r="GXH6"/>
      <c r="GXJ6"/>
      <c r="GXL6"/>
      <c r="GXN6"/>
      <c r="GXP6"/>
      <c r="GXR6"/>
      <c r="GXT6"/>
      <c r="GXV6"/>
      <c r="GXX6"/>
      <c r="GXZ6"/>
      <c r="GYB6"/>
      <c r="GYD6"/>
      <c r="GYF6"/>
      <c r="GYH6"/>
      <c r="GYJ6"/>
      <c r="GYL6"/>
      <c r="GYN6"/>
      <c r="GYP6"/>
      <c r="GYR6"/>
      <c r="GYT6"/>
      <c r="GYV6"/>
      <c r="GYX6"/>
      <c r="GYZ6"/>
      <c r="GZB6"/>
      <c r="GZD6"/>
      <c r="GZF6"/>
      <c r="GZH6"/>
      <c r="GZJ6"/>
      <c r="GZL6"/>
      <c r="GZN6"/>
      <c r="GZP6"/>
      <c r="GZR6"/>
      <c r="GZT6"/>
      <c r="GZV6"/>
      <c r="GZX6"/>
      <c r="GZZ6"/>
      <c r="HAB6"/>
      <c r="HAD6"/>
      <c r="HAF6"/>
      <c r="HAH6"/>
      <c r="HAJ6"/>
      <c r="HAL6"/>
      <c r="HAN6"/>
      <c r="HAP6"/>
      <c r="HAR6"/>
      <c r="HAT6"/>
      <c r="HAV6"/>
      <c r="HAX6"/>
      <c r="HAZ6"/>
      <c r="HBB6"/>
      <c r="HBD6"/>
      <c r="HBF6"/>
      <c r="HBH6"/>
      <c r="HBJ6"/>
      <c r="HBL6"/>
      <c r="HBN6"/>
      <c r="HBP6"/>
      <c r="HBR6"/>
      <c r="HBT6"/>
      <c r="HBV6"/>
      <c r="HBX6"/>
      <c r="HBZ6"/>
      <c r="HCB6"/>
      <c r="HCD6"/>
      <c r="HCF6"/>
      <c r="HCH6"/>
      <c r="HCJ6"/>
      <c r="HCL6"/>
      <c r="HCN6"/>
      <c r="HCP6"/>
      <c r="HCR6"/>
      <c r="HCT6"/>
      <c r="HCV6"/>
      <c r="HCX6"/>
      <c r="HCZ6"/>
      <c r="HDB6"/>
      <c r="HDD6"/>
      <c r="HDF6"/>
      <c r="HDH6"/>
      <c r="HDJ6"/>
      <c r="HDL6"/>
      <c r="HDN6"/>
      <c r="HDP6"/>
      <c r="HDR6"/>
      <c r="HDT6"/>
      <c r="HDV6"/>
      <c r="HDX6"/>
      <c r="HDZ6"/>
      <c r="HEB6"/>
      <c r="HED6"/>
      <c r="HEF6"/>
      <c r="HEH6"/>
      <c r="HEJ6"/>
      <c r="HEL6"/>
      <c r="HEN6"/>
      <c r="HEP6"/>
      <c r="HER6"/>
      <c r="HET6"/>
      <c r="HEV6"/>
      <c r="HEX6"/>
      <c r="HEZ6"/>
      <c r="HFB6"/>
      <c r="HFD6"/>
      <c r="HFF6"/>
      <c r="HFH6"/>
      <c r="HFJ6"/>
      <c r="HFL6"/>
      <c r="HFN6"/>
      <c r="HFP6"/>
      <c r="HFR6"/>
      <c r="HFT6"/>
      <c r="HFV6"/>
      <c r="HFX6"/>
      <c r="HFZ6"/>
      <c r="HGB6"/>
      <c r="HGD6"/>
      <c r="HGF6"/>
      <c r="HGH6"/>
      <c r="HGJ6"/>
      <c r="HGL6"/>
      <c r="HGN6"/>
      <c r="HGP6"/>
      <c r="HGR6"/>
      <c r="HGT6"/>
      <c r="HGV6"/>
      <c r="HGX6"/>
      <c r="HGZ6"/>
      <c r="HHB6"/>
      <c r="HHD6"/>
      <c r="HHF6"/>
      <c r="HHH6"/>
      <c r="HHJ6"/>
      <c r="HHL6"/>
      <c r="HHN6"/>
      <c r="HHP6"/>
      <c r="HHR6"/>
      <c r="HHT6"/>
      <c r="HHV6"/>
      <c r="HHX6"/>
      <c r="HHZ6"/>
      <c r="HIB6"/>
      <c r="HID6"/>
      <c r="HIF6"/>
      <c r="HIH6"/>
      <c r="HIJ6"/>
      <c r="HIL6"/>
      <c r="HIN6"/>
      <c r="HIP6"/>
      <c r="HIR6"/>
      <c r="HIT6"/>
      <c r="HIV6"/>
      <c r="HIX6"/>
      <c r="HIZ6"/>
      <c r="HJB6"/>
      <c r="HJD6"/>
      <c r="HJF6"/>
      <c r="HJH6"/>
      <c r="HJJ6"/>
      <c r="HJL6"/>
      <c r="HJN6"/>
      <c r="HJP6"/>
      <c r="HJR6"/>
      <c r="HJT6"/>
      <c r="HJV6"/>
      <c r="HJX6"/>
      <c r="HJZ6"/>
      <c r="HKB6"/>
      <c r="HKD6"/>
      <c r="HKF6"/>
      <c r="HKH6"/>
      <c r="HKJ6"/>
      <c r="HKL6"/>
      <c r="HKN6"/>
      <c r="HKP6"/>
      <c r="HKR6"/>
      <c r="HKT6"/>
      <c r="HKV6"/>
      <c r="HKX6"/>
      <c r="HKZ6"/>
      <c r="HLB6"/>
      <c r="HLD6"/>
      <c r="HLF6"/>
      <c r="HLH6"/>
      <c r="HLJ6"/>
      <c r="HLL6"/>
      <c r="HLN6"/>
      <c r="HLP6"/>
      <c r="HLR6"/>
      <c r="HLT6"/>
      <c r="HLV6"/>
      <c r="HLX6"/>
      <c r="HLZ6"/>
      <c r="HMB6"/>
      <c r="HMD6"/>
      <c r="HMF6"/>
      <c r="HMH6"/>
      <c r="HMJ6"/>
      <c r="HML6"/>
      <c r="HMN6"/>
      <c r="HMP6"/>
      <c r="HMR6"/>
      <c r="HMT6"/>
      <c r="HMV6"/>
      <c r="HMX6"/>
      <c r="HMZ6"/>
      <c r="HNB6"/>
      <c r="HND6"/>
      <c r="HNF6"/>
      <c r="HNH6"/>
      <c r="HNJ6"/>
      <c r="HNL6"/>
      <c r="HNN6"/>
      <c r="HNP6"/>
      <c r="HNR6"/>
      <c r="HNT6"/>
      <c r="HNV6"/>
      <c r="HNX6"/>
      <c r="HNZ6"/>
      <c r="HOB6"/>
      <c r="HOD6"/>
      <c r="HOF6"/>
      <c r="HOH6"/>
      <c r="HOJ6"/>
      <c r="HOL6"/>
      <c r="HON6"/>
      <c r="HOP6"/>
      <c r="HOR6"/>
      <c r="HOT6"/>
      <c r="HOV6"/>
      <c r="HOX6"/>
      <c r="HOZ6"/>
      <c r="HPB6"/>
      <c r="HPD6"/>
      <c r="HPF6"/>
      <c r="HPH6"/>
      <c r="HPJ6"/>
      <c r="HPL6"/>
      <c r="HPN6"/>
      <c r="HPP6"/>
      <c r="HPR6"/>
      <c r="HPT6"/>
      <c r="HPV6"/>
      <c r="HPX6"/>
      <c r="HPZ6"/>
      <c r="HQB6"/>
      <c r="HQD6"/>
      <c r="HQF6"/>
      <c r="HQH6"/>
      <c r="HQJ6"/>
      <c r="HQL6"/>
      <c r="HQN6"/>
      <c r="HQP6"/>
      <c r="HQR6"/>
      <c r="HQT6"/>
      <c r="HQV6"/>
      <c r="HQX6"/>
      <c r="HQZ6"/>
      <c r="HRB6"/>
      <c r="HRD6"/>
      <c r="HRF6"/>
      <c r="HRH6"/>
      <c r="HRJ6"/>
      <c r="HRL6"/>
      <c r="HRN6"/>
      <c r="HRP6"/>
      <c r="HRR6"/>
      <c r="HRT6"/>
      <c r="HRV6"/>
      <c r="HRX6"/>
      <c r="HRZ6"/>
      <c r="HSB6"/>
      <c r="HSD6"/>
      <c r="HSF6"/>
      <c r="HSH6"/>
      <c r="HSJ6"/>
      <c r="HSL6"/>
      <c r="HSN6"/>
      <c r="HSP6"/>
      <c r="HSR6"/>
      <c r="HST6"/>
      <c r="HSV6"/>
      <c r="HSX6"/>
      <c r="HSZ6"/>
      <c r="HTB6"/>
      <c r="HTD6"/>
      <c r="HTF6"/>
      <c r="HTH6"/>
      <c r="HTJ6"/>
      <c r="HTL6"/>
      <c r="HTN6"/>
      <c r="HTP6"/>
      <c r="HTR6"/>
      <c r="HTT6"/>
      <c r="HTV6"/>
      <c r="HTX6"/>
      <c r="HTZ6"/>
      <c r="HUB6"/>
      <c r="HUD6"/>
      <c r="HUF6"/>
      <c r="HUH6"/>
      <c r="HUJ6"/>
      <c r="HUL6"/>
      <c r="HUN6"/>
      <c r="HUP6"/>
      <c r="HUR6"/>
      <c r="HUT6"/>
      <c r="HUV6"/>
      <c r="HUX6"/>
      <c r="HUZ6"/>
      <c r="HVB6"/>
      <c r="HVD6"/>
      <c r="HVF6"/>
      <c r="HVH6"/>
      <c r="HVJ6"/>
      <c r="HVL6"/>
      <c r="HVN6"/>
      <c r="HVP6"/>
      <c r="HVR6"/>
      <c r="HVT6"/>
      <c r="HVV6"/>
      <c r="HVX6"/>
      <c r="HVZ6"/>
      <c r="HWB6"/>
      <c r="HWD6"/>
      <c r="HWF6"/>
      <c r="HWH6"/>
      <c r="HWJ6"/>
      <c r="HWL6"/>
      <c r="HWN6"/>
      <c r="HWP6"/>
      <c r="HWR6"/>
      <c r="HWT6"/>
      <c r="HWV6"/>
      <c r="HWX6"/>
      <c r="HWZ6"/>
      <c r="HXB6"/>
      <c r="HXD6"/>
      <c r="HXF6"/>
      <c r="HXH6"/>
      <c r="HXJ6"/>
      <c r="HXL6"/>
      <c r="HXN6"/>
      <c r="HXP6"/>
      <c r="HXR6"/>
      <c r="HXT6"/>
      <c r="HXV6"/>
      <c r="HXX6"/>
      <c r="HXZ6"/>
      <c r="HYB6"/>
      <c r="HYD6"/>
      <c r="HYF6"/>
      <c r="HYH6"/>
      <c r="HYJ6"/>
      <c r="HYL6"/>
      <c r="HYN6"/>
      <c r="HYP6"/>
      <c r="HYR6"/>
      <c r="HYT6"/>
      <c r="HYV6"/>
      <c r="HYX6"/>
      <c r="HYZ6"/>
      <c r="HZB6"/>
      <c r="HZD6"/>
      <c r="HZF6"/>
      <c r="HZH6"/>
      <c r="HZJ6"/>
      <c r="HZL6"/>
      <c r="HZN6"/>
      <c r="HZP6"/>
      <c r="HZR6"/>
      <c r="HZT6"/>
      <c r="HZV6"/>
      <c r="HZX6"/>
      <c r="HZZ6"/>
      <c r="IAB6"/>
      <c r="IAD6"/>
      <c r="IAF6"/>
      <c r="IAH6"/>
      <c r="IAJ6"/>
      <c r="IAL6"/>
      <c r="IAN6"/>
      <c r="IAP6"/>
      <c r="IAR6"/>
      <c r="IAT6"/>
      <c r="IAV6"/>
      <c r="IAX6"/>
      <c r="IAZ6"/>
      <c r="IBB6"/>
      <c r="IBD6"/>
      <c r="IBF6"/>
      <c r="IBH6"/>
      <c r="IBJ6"/>
      <c r="IBL6"/>
      <c r="IBN6"/>
      <c r="IBP6"/>
      <c r="IBR6"/>
      <c r="IBT6"/>
      <c r="IBV6"/>
      <c r="IBX6"/>
      <c r="IBZ6"/>
      <c r="ICB6"/>
      <c r="ICD6"/>
      <c r="ICF6"/>
      <c r="ICH6"/>
      <c r="ICJ6"/>
      <c r="ICL6"/>
      <c r="ICN6"/>
      <c r="ICP6"/>
      <c r="ICR6"/>
      <c r="ICT6"/>
      <c r="ICV6"/>
      <c r="ICX6"/>
      <c r="ICZ6"/>
      <c r="IDB6"/>
      <c r="IDD6"/>
      <c r="IDF6"/>
      <c r="IDH6"/>
      <c r="IDJ6"/>
      <c r="IDL6"/>
      <c r="IDN6"/>
      <c r="IDP6"/>
      <c r="IDR6"/>
      <c r="IDT6"/>
      <c r="IDV6"/>
      <c r="IDX6"/>
      <c r="IDZ6"/>
      <c r="IEB6"/>
      <c r="IED6"/>
      <c r="IEF6"/>
      <c r="IEH6"/>
      <c r="IEJ6"/>
      <c r="IEL6"/>
      <c r="IEN6"/>
      <c r="IEP6"/>
      <c r="IER6"/>
      <c r="IET6"/>
      <c r="IEV6"/>
      <c r="IEX6"/>
      <c r="IEZ6"/>
      <c r="IFB6"/>
      <c r="IFD6"/>
      <c r="IFF6"/>
      <c r="IFH6"/>
      <c r="IFJ6"/>
      <c r="IFL6"/>
      <c r="IFN6"/>
      <c r="IFP6"/>
      <c r="IFR6"/>
      <c r="IFT6"/>
      <c r="IFV6"/>
      <c r="IFX6"/>
      <c r="IFZ6"/>
      <c r="IGB6"/>
      <c r="IGD6"/>
      <c r="IGF6"/>
      <c r="IGH6"/>
      <c r="IGJ6"/>
      <c r="IGL6"/>
      <c r="IGN6"/>
      <c r="IGP6"/>
      <c r="IGR6"/>
      <c r="IGT6"/>
      <c r="IGV6"/>
      <c r="IGX6"/>
      <c r="IGZ6"/>
      <c r="IHB6"/>
      <c r="IHD6"/>
      <c r="IHF6"/>
      <c r="IHH6"/>
      <c r="IHJ6"/>
      <c r="IHL6"/>
      <c r="IHN6"/>
      <c r="IHP6"/>
      <c r="IHR6"/>
      <c r="IHT6"/>
      <c r="IHV6"/>
      <c r="IHX6"/>
      <c r="IHZ6"/>
      <c r="IIB6"/>
      <c r="IID6"/>
      <c r="IIF6"/>
      <c r="IIH6"/>
      <c r="IIJ6"/>
      <c r="IIL6"/>
      <c r="IIN6"/>
      <c r="IIP6"/>
      <c r="IIR6"/>
      <c r="IIT6"/>
      <c r="IIV6"/>
      <c r="IIX6"/>
      <c r="IIZ6"/>
      <c r="IJB6"/>
      <c r="IJD6"/>
      <c r="IJF6"/>
      <c r="IJH6"/>
      <c r="IJJ6"/>
      <c r="IJL6"/>
      <c r="IJN6"/>
      <c r="IJP6"/>
      <c r="IJR6"/>
      <c r="IJT6"/>
      <c r="IJV6"/>
      <c r="IJX6"/>
      <c r="IJZ6"/>
      <c r="IKB6"/>
      <c r="IKD6"/>
      <c r="IKF6"/>
      <c r="IKH6"/>
      <c r="IKJ6"/>
      <c r="IKL6"/>
      <c r="IKN6"/>
      <c r="IKP6"/>
      <c r="IKR6"/>
      <c r="IKT6"/>
      <c r="IKV6"/>
      <c r="IKX6"/>
      <c r="IKZ6"/>
      <c r="ILB6"/>
      <c r="ILD6"/>
      <c r="ILF6"/>
      <c r="ILH6"/>
      <c r="ILJ6"/>
      <c r="ILL6"/>
      <c r="ILN6"/>
      <c r="ILP6"/>
      <c r="ILR6"/>
      <c r="ILT6"/>
      <c r="ILV6"/>
      <c r="ILX6"/>
      <c r="ILZ6"/>
      <c r="IMB6"/>
      <c r="IMD6"/>
      <c r="IMF6"/>
      <c r="IMH6"/>
      <c r="IMJ6"/>
      <c r="IML6"/>
      <c r="IMN6"/>
      <c r="IMP6"/>
      <c r="IMR6"/>
      <c r="IMT6"/>
      <c r="IMV6"/>
      <c r="IMX6"/>
      <c r="IMZ6"/>
      <c r="INB6"/>
      <c r="IND6"/>
      <c r="INF6"/>
      <c r="INH6"/>
      <c r="INJ6"/>
      <c r="INL6"/>
      <c r="INN6"/>
      <c r="INP6"/>
      <c r="INR6"/>
      <c r="INT6"/>
      <c r="INV6"/>
      <c r="INX6"/>
      <c r="INZ6"/>
      <c r="IOB6"/>
      <c r="IOD6"/>
      <c r="IOF6"/>
      <c r="IOH6"/>
      <c r="IOJ6"/>
      <c r="IOL6"/>
      <c r="ION6"/>
      <c r="IOP6"/>
      <c r="IOR6"/>
      <c r="IOT6"/>
      <c r="IOV6"/>
      <c r="IOX6"/>
      <c r="IOZ6"/>
      <c r="IPB6"/>
      <c r="IPD6"/>
      <c r="IPF6"/>
      <c r="IPH6"/>
      <c r="IPJ6"/>
      <c r="IPL6"/>
      <c r="IPN6"/>
      <c r="IPP6"/>
      <c r="IPR6"/>
      <c r="IPT6"/>
      <c r="IPV6"/>
      <c r="IPX6"/>
      <c r="IPZ6"/>
      <c r="IQB6"/>
      <c r="IQD6"/>
      <c r="IQF6"/>
      <c r="IQH6"/>
      <c r="IQJ6"/>
      <c r="IQL6"/>
      <c r="IQN6"/>
      <c r="IQP6"/>
      <c r="IQR6"/>
      <c r="IQT6"/>
      <c r="IQV6"/>
      <c r="IQX6"/>
      <c r="IQZ6"/>
      <c r="IRB6"/>
      <c r="IRD6"/>
      <c r="IRF6"/>
      <c r="IRH6"/>
      <c r="IRJ6"/>
      <c r="IRL6"/>
      <c r="IRN6"/>
      <c r="IRP6"/>
      <c r="IRR6"/>
      <c r="IRT6"/>
      <c r="IRV6"/>
      <c r="IRX6"/>
      <c r="IRZ6"/>
      <c r="ISB6"/>
      <c r="ISD6"/>
      <c r="ISF6"/>
      <c r="ISH6"/>
      <c r="ISJ6"/>
      <c r="ISL6"/>
      <c r="ISN6"/>
      <c r="ISP6"/>
      <c r="ISR6"/>
      <c r="IST6"/>
      <c r="ISV6"/>
      <c r="ISX6"/>
      <c r="ISZ6"/>
      <c r="ITB6"/>
      <c r="ITD6"/>
      <c r="ITF6"/>
      <c r="ITH6"/>
      <c r="ITJ6"/>
      <c r="ITL6"/>
      <c r="ITN6"/>
      <c r="ITP6"/>
      <c r="ITR6"/>
      <c r="ITT6"/>
      <c r="ITV6"/>
      <c r="ITX6"/>
      <c r="ITZ6"/>
      <c r="IUB6"/>
      <c r="IUD6"/>
      <c r="IUF6"/>
      <c r="IUH6"/>
      <c r="IUJ6"/>
      <c r="IUL6"/>
      <c r="IUN6"/>
      <c r="IUP6"/>
      <c r="IUR6"/>
      <c r="IUT6"/>
      <c r="IUV6"/>
      <c r="IUX6"/>
      <c r="IUZ6"/>
      <c r="IVB6"/>
      <c r="IVD6"/>
      <c r="IVF6"/>
      <c r="IVH6"/>
      <c r="IVJ6"/>
      <c r="IVL6"/>
      <c r="IVN6"/>
      <c r="IVP6"/>
      <c r="IVR6"/>
      <c r="IVT6"/>
      <c r="IVV6"/>
      <c r="IVX6"/>
      <c r="IVZ6"/>
      <c r="IWB6"/>
      <c r="IWD6"/>
      <c r="IWF6"/>
      <c r="IWH6"/>
      <c r="IWJ6"/>
      <c r="IWL6"/>
      <c r="IWN6"/>
      <c r="IWP6"/>
      <c r="IWR6"/>
      <c r="IWT6"/>
      <c r="IWV6"/>
      <c r="IWX6"/>
      <c r="IWZ6"/>
      <c r="IXB6"/>
      <c r="IXD6"/>
      <c r="IXF6"/>
      <c r="IXH6"/>
      <c r="IXJ6"/>
      <c r="IXL6"/>
      <c r="IXN6"/>
      <c r="IXP6"/>
      <c r="IXR6"/>
      <c r="IXT6"/>
      <c r="IXV6"/>
      <c r="IXX6"/>
      <c r="IXZ6"/>
      <c r="IYB6"/>
      <c r="IYD6"/>
      <c r="IYF6"/>
      <c r="IYH6"/>
      <c r="IYJ6"/>
      <c r="IYL6"/>
      <c r="IYN6"/>
      <c r="IYP6"/>
      <c r="IYR6"/>
      <c r="IYT6"/>
      <c r="IYV6"/>
      <c r="IYX6"/>
      <c r="IYZ6"/>
      <c r="IZB6"/>
      <c r="IZD6"/>
      <c r="IZF6"/>
      <c r="IZH6"/>
      <c r="IZJ6"/>
      <c r="IZL6"/>
      <c r="IZN6"/>
      <c r="IZP6"/>
      <c r="IZR6"/>
      <c r="IZT6"/>
      <c r="IZV6"/>
      <c r="IZX6"/>
      <c r="IZZ6"/>
      <c r="JAB6"/>
      <c r="JAD6"/>
      <c r="JAF6"/>
      <c r="JAH6"/>
      <c r="JAJ6"/>
      <c r="JAL6"/>
      <c r="JAN6"/>
      <c r="JAP6"/>
      <c r="JAR6"/>
      <c r="JAT6"/>
      <c r="JAV6"/>
      <c r="JAX6"/>
      <c r="JAZ6"/>
      <c r="JBB6"/>
      <c r="JBD6"/>
      <c r="JBF6"/>
      <c r="JBH6"/>
      <c r="JBJ6"/>
      <c r="JBL6"/>
      <c r="JBN6"/>
      <c r="JBP6"/>
      <c r="JBR6"/>
      <c r="JBT6"/>
      <c r="JBV6"/>
      <c r="JBX6"/>
      <c r="JBZ6"/>
      <c r="JCB6"/>
      <c r="JCD6"/>
      <c r="JCF6"/>
      <c r="JCH6"/>
      <c r="JCJ6"/>
      <c r="JCL6"/>
      <c r="JCN6"/>
      <c r="JCP6"/>
      <c r="JCR6"/>
      <c r="JCT6"/>
      <c r="JCV6"/>
      <c r="JCX6"/>
      <c r="JCZ6"/>
      <c r="JDB6"/>
      <c r="JDD6"/>
      <c r="JDF6"/>
      <c r="JDH6"/>
      <c r="JDJ6"/>
      <c r="JDL6"/>
      <c r="JDN6"/>
      <c r="JDP6"/>
      <c r="JDR6"/>
      <c r="JDT6"/>
      <c r="JDV6"/>
      <c r="JDX6"/>
      <c r="JDZ6"/>
      <c r="JEB6"/>
      <c r="JED6"/>
      <c r="JEF6"/>
      <c r="JEH6"/>
      <c r="JEJ6"/>
      <c r="JEL6"/>
      <c r="JEN6"/>
      <c r="JEP6"/>
      <c r="JER6"/>
      <c r="JET6"/>
      <c r="JEV6"/>
      <c r="JEX6"/>
      <c r="JEZ6"/>
      <c r="JFB6"/>
      <c r="JFD6"/>
      <c r="JFF6"/>
      <c r="JFH6"/>
      <c r="JFJ6"/>
      <c r="JFL6"/>
      <c r="JFN6"/>
      <c r="JFP6"/>
      <c r="JFR6"/>
      <c r="JFT6"/>
      <c r="JFV6"/>
      <c r="JFX6"/>
      <c r="JFZ6"/>
      <c r="JGB6"/>
      <c r="JGD6"/>
      <c r="JGF6"/>
      <c r="JGH6"/>
      <c r="JGJ6"/>
      <c r="JGL6"/>
      <c r="JGN6"/>
      <c r="JGP6"/>
      <c r="JGR6"/>
      <c r="JGT6"/>
      <c r="JGV6"/>
      <c r="JGX6"/>
      <c r="JGZ6"/>
      <c r="JHB6"/>
      <c r="JHD6"/>
      <c r="JHF6"/>
      <c r="JHH6"/>
      <c r="JHJ6"/>
      <c r="JHL6"/>
      <c r="JHN6"/>
      <c r="JHP6"/>
      <c r="JHR6"/>
      <c r="JHT6"/>
      <c r="JHV6"/>
      <c r="JHX6"/>
      <c r="JHZ6"/>
      <c r="JIB6"/>
      <c r="JID6"/>
      <c r="JIF6"/>
      <c r="JIH6"/>
      <c r="JIJ6"/>
      <c r="JIL6"/>
      <c r="JIN6"/>
      <c r="JIP6"/>
      <c r="JIR6"/>
      <c r="JIT6"/>
      <c r="JIV6"/>
      <c r="JIX6"/>
      <c r="JIZ6"/>
      <c r="JJB6"/>
      <c r="JJD6"/>
      <c r="JJF6"/>
      <c r="JJH6"/>
      <c r="JJJ6"/>
      <c r="JJL6"/>
      <c r="JJN6"/>
      <c r="JJP6"/>
      <c r="JJR6"/>
      <c r="JJT6"/>
      <c r="JJV6"/>
      <c r="JJX6"/>
      <c r="JJZ6"/>
      <c r="JKB6"/>
      <c r="JKD6"/>
      <c r="JKF6"/>
      <c r="JKH6"/>
      <c r="JKJ6"/>
      <c r="JKL6"/>
      <c r="JKN6"/>
      <c r="JKP6"/>
      <c r="JKR6"/>
      <c r="JKT6"/>
      <c r="JKV6"/>
      <c r="JKX6"/>
      <c r="JKZ6"/>
      <c r="JLB6"/>
      <c r="JLD6"/>
      <c r="JLF6"/>
      <c r="JLH6"/>
      <c r="JLJ6"/>
      <c r="JLL6"/>
      <c r="JLN6"/>
      <c r="JLP6"/>
      <c r="JLR6"/>
      <c r="JLT6"/>
      <c r="JLV6"/>
      <c r="JLX6"/>
      <c r="JLZ6"/>
      <c r="JMB6"/>
      <c r="JMD6"/>
      <c r="JMF6"/>
      <c r="JMH6"/>
      <c r="JMJ6"/>
      <c r="JML6"/>
      <c r="JMN6"/>
      <c r="JMP6"/>
      <c r="JMR6"/>
      <c r="JMT6"/>
      <c r="JMV6"/>
      <c r="JMX6"/>
      <c r="JMZ6"/>
      <c r="JNB6"/>
      <c r="JND6"/>
      <c r="JNF6"/>
      <c r="JNH6"/>
      <c r="JNJ6"/>
      <c r="JNL6"/>
      <c r="JNN6"/>
      <c r="JNP6"/>
      <c r="JNR6"/>
      <c r="JNT6"/>
      <c r="JNV6"/>
      <c r="JNX6"/>
      <c r="JNZ6"/>
      <c r="JOB6"/>
      <c r="JOD6"/>
      <c r="JOF6"/>
      <c r="JOH6"/>
      <c r="JOJ6"/>
      <c r="JOL6"/>
      <c r="JON6"/>
      <c r="JOP6"/>
      <c r="JOR6"/>
      <c r="JOT6"/>
      <c r="JOV6"/>
      <c r="JOX6"/>
      <c r="JOZ6"/>
      <c r="JPB6"/>
      <c r="JPD6"/>
      <c r="JPF6"/>
      <c r="JPH6"/>
      <c r="JPJ6"/>
      <c r="JPL6"/>
      <c r="JPN6"/>
      <c r="JPP6"/>
      <c r="JPR6"/>
      <c r="JPT6"/>
      <c r="JPV6"/>
      <c r="JPX6"/>
      <c r="JPZ6"/>
      <c r="JQB6"/>
      <c r="JQD6"/>
      <c r="JQF6"/>
      <c r="JQH6"/>
      <c r="JQJ6"/>
      <c r="JQL6"/>
      <c r="JQN6"/>
      <c r="JQP6"/>
      <c r="JQR6"/>
      <c r="JQT6"/>
      <c r="JQV6"/>
      <c r="JQX6"/>
      <c r="JQZ6"/>
      <c r="JRB6"/>
      <c r="JRD6"/>
      <c r="JRF6"/>
      <c r="JRH6"/>
      <c r="JRJ6"/>
      <c r="JRL6"/>
      <c r="JRN6"/>
      <c r="JRP6"/>
      <c r="JRR6"/>
      <c r="JRT6"/>
      <c r="JRV6"/>
      <c r="JRX6"/>
      <c r="JRZ6"/>
      <c r="JSB6"/>
      <c r="JSD6"/>
      <c r="JSF6"/>
      <c r="JSH6"/>
      <c r="JSJ6"/>
      <c r="JSL6"/>
      <c r="JSN6"/>
      <c r="JSP6"/>
      <c r="JSR6"/>
      <c r="JST6"/>
      <c r="JSV6"/>
      <c r="JSX6"/>
      <c r="JSZ6"/>
      <c r="JTB6"/>
      <c r="JTD6"/>
      <c r="JTF6"/>
      <c r="JTH6"/>
      <c r="JTJ6"/>
      <c r="JTL6"/>
      <c r="JTN6"/>
      <c r="JTP6"/>
      <c r="JTR6"/>
      <c r="JTT6"/>
      <c r="JTV6"/>
      <c r="JTX6"/>
      <c r="JTZ6"/>
      <c r="JUB6"/>
      <c r="JUD6"/>
      <c r="JUF6"/>
      <c r="JUH6"/>
      <c r="JUJ6"/>
      <c r="JUL6"/>
      <c r="JUN6"/>
      <c r="JUP6"/>
      <c r="JUR6"/>
      <c r="JUT6"/>
      <c r="JUV6"/>
      <c r="JUX6"/>
      <c r="JUZ6"/>
      <c r="JVB6"/>
      <c r="JVD6"/>
      <c r="JVF6"/>
      <c r="JVH6"/>
      <c r="JVJ6"/>
      <c r="JVL6"/>
      <c r="JVN6"/>
      <c r="JVP6"/>
      <c r="JVR6"/>
      <c r="JVT6"/>
      <c r="JVV6"/>
      <c r="JVX6"/>
      <c r="JVZ6"/>
      <c r="JWB6"/>
      <c r="JWD6"/>
      <c r="JWF6"/>
      <c r="JWH6"/>
      <c r="JWJ6"/>
      <c r="JWL6"/>
      <c r="JWN6"/>
      <c r="JWP6"/>
      <c r="JWR6"/>
      <c r="JWT6"/>
      <c r="JWV6"/>
      <c r="JWX6"/>
      <c r="JWZ6"/>
      <c r="JXB6"/>
      <c r="JXD6"/>
      <c r="JXF6"/>
      <c r="JXH6"/>
      <c r="JXJ6"/>
      <c r="JXL6"/>
      <c r="JXN6"/>
      <c r="JXP6"/>
      <c r="JXR6"/>
      <c r="JXT6"/>
      <c r="JXV6"/>
      <c r="JXX6"/>
      <c r="JXZ6"/>
      <c r="JYB6"/>
      <c r="JYD6"/>
      <c r="JYF6"/>
      <c r="JYH6"/>
      <c r="JYJ6"/>
      <c r="JYL6"/>
      <c r="JYN6"/>
      <c r="JYP6"/>
      <c r="JYR6"/>
      <c r="JYT6"/>
      <c r="JYV6"/>
      <c r="JYX6"/>
      <c r="JYZ6"/>
      <c r="JZB6"/>
      <c r="JZD6"/>
      <c r="JZF6"/>
      <c r="JZH6"/>
      <c r="JZJ6"/>
      <c r="JZL6"/>
      <c r="JZN6"/>
      <c r="JZP6"/>
      <c r="JZR6"/>
      <c r="JZT6"/>
      <c r="JZV6"/>
      <c r="JZX6"/>
      <c r="JZZ6"/>
      <c r="KAB6"/>
      <c r="KAD6"/>
      <c r="KAF6"/>
      <c r="KAH6"/>
      <c r="KAJ6"/>
      <c r="KAL6"/>
      <c r="KAN6"/>
      <c r="KAP6"/>
      <c r="KAR6"/>
      <c r="KAT6"/>
      <c r="KAV6"/>
      <c r="KAX6"/>
      <c r="KAZ6"/>
      <c r="KBB6"/>
      <c r="KBD6"/>
      <c r="KBF6"/>
      <c r="KBH6"/>
      <c r="KBJ6"/>
      <c r="KBL6"/>
      <c r="KBN6"/>
      <c r="KBP6"/>
      <c r="KBR6"/>
      <c r="KBT6"/>
      <c r="KBV6"/>
      <c r="KBX6"/>
      <c r="KBZ6"/>
      <c r="KCB6"/>
      <c r="KCD6"/>
      <c r="KCF6"/>
      <c r="KCH6"/>
      <c r="KCJ6"/>
      <c r="KCL6"/>
      <c r="KCN6"/>
      <c r="KCP6"/>
      <c r="KCR6"/>
      <c r="KCT6"/>
      <c r="KCV6"/>
      <c r="KCX6"/>
      <c r="KCZ6"/>
      <c r="KDB6"/>
      <c r="KDD6"/>
      <c r="KDF6"/>
      <c r="KDH6"/>
      <c r="KDJ6"/>
      <c r="KDL6"/>
      <c r="KDN6"/>
      <c r="KDP6"/>
      <c r="KDR6"/>
      <c r="KDT6"/>
      <c r="KDV6"/>
      <c r="KDX6"/>
      <c r="KDZ6"/>
      <c r="KEB6"/>
      <c r="KED6"/>
      <c r="KEF6"/>
      <c r="KEH6"/>
      <c r="KEJ6"/>
      <c r="KEL6"/>
      <c r="KEN6"/>
      <c r="KEP6"/>
      <c r="KER6"/>
      <c r="KET6"/>
      <c r="KEV6"/>
      <c r="KEX6"/>
      <c r="KEZ6"/>
      <c r="KFB6"/>
      <c r="KFD6"/>
      <c r="KFF6"/>
      <c r="KFH6"/>
      <c r="KFJ6"/>
      <c r="KFL6"/>
      <c r="KFN6"/>
      <c r="KFP6"/>
      <c r="KFR6"/>
      <c r="KFT6"/>
      <c r="KFV6"/>
      <c r="KFX6"/>
      <c r="KFZ6"/>
      <c r="KGB6"/>
      <c r="KGD6"/>
      <c r="KGF6"/>
      <c r="KGH6"/>
      <c r="KGJ6"/>
      <c r="KGL6"/>
      <c r="KGN6"/>
      <c r="KGP6"/>
      <c r="KGR6"/>
      <c r="KGT6"/>
      <c r="KGV6"/>
      <c r="KGX6"/>
      <c r="KGZ6"/>
      <c r="KHB6"/>
      <c r="KHD6"/>
      <c r="KHF6"/>
      <c r="KHH6"/>
      <c r="KHJ6"/>
      <c r="KHL6"/>
      <c r="KHN6"/>
      <c r="KHP6"/>
      <c r="KHR6"/>
      <c r="KHT6"/>
      <c r="KHV6"/>
      <c r="KHX6"/>
      <c r="KHZ6"/>
      <c r="KIB6"/>
      <c r="KID6"/>
      <c r="KIF6"/>
      <c r="KIH6"/>
      <c r="KIJ6"/>
      <c r="KIL6"/>
      <c r="KIN6"/>
      <c r="KIP6"/>
      <c r="KIR6"/>
      <c r="KIT6"/>
      <c r="KIV6"/>
      <c r="KIX6"/>
      <c r="KIZ6"/>
      <c r="KJB6"/>
      <c r="KJD6"/>
      <c r="KJF6"/>
      <c r="KJH6"/>
      <c r="KJJ6"/>
      <c r="KJL6"/>
      <c r="KJN6"/>
      <c r="KJP6"/>
      <c r="KJR6"/>
      <c r="KJT6"/>
      <c r="KJV6"/>
      <c r="KJX6"/>
      <c r="KJZ6"/>
      <c r="KKB6"/>
      <c r="KKD6"/>
      <c r="KKF6"/>
      <c r="KKH6"/>
      <c r="KKJ6"/>
      <c r="KKL6"/>
      <c r="KKN6"/>
      <c r="KKP6"/>
      <c r="KKR6"/>
      <c r="KKT6"/>
      <c r="KKV6"/>
      <c r="KKX6"/>
      <c r="KKZ6"/>
      <c r="KLB6"/>
      <c r="KLD6"/>
      <c r="KLF6"/>
      <c r="KLH6"/>
      <c r="KLJ6"/>
      <c r="KLL6"/>
      <c r="KLN6"/>
      <c r="KLP6"/>
      <c r="KLR6"/>
      <c r="KLT6"/>
      <c r="KLV6"/>
      <c r="KLX6"/>
      <c r="KLZ6"/>
      <c r="KMB6"/>
      <c r="KMD6"/>
      <c r="KMF6"/>
      <c r="KMH6"/>
      <c r="KMJ6"/>
      <c r="KML6"/>
      <c r="KMN6"/>
      <c r="KMP6"/>
      <c r="KMR6"/>
      <c r="KMT6"/>
      <c r="KMV6"/>
      <c r="KMX6"/>
      <c r="KMZ6"/>
      <c r="KNB6"/>
      <c r="KND6"/>
      <c r="KNF6"/>
      <c r="KNH6"/>
      <c r="KNJ6"/>
      <c r="KNL6"/>
      <c r="KNN6"/>
      <c r="KNP6"/>
      <c r="KNR6"/>
      <c r="KNT6"/>
      <c r="KNV6"/>
      <c r="KNX6"/>
      <c r="KNZ6"/>
      <c r="KOB6"/>
      <c r="KOD6"/>
      <c r="KOF6"/>
      <c r="KOH6"/>
      <c r="KOJ6"/>
      <c r="KOL6"/>
      <c r="KON6"/>
      <c r="KOP6"/>
      <c r="KOR6"/>
      <c r="KOT6"/>
      <c r="KOV6"/>
      <c r="KOX6"/>
      <c r="KOZ6"/>
      <c r="KPB6"/>
      <c r="KPD6"/>
      <c r="KPF6"/>
      <c r="KPH6"/>
      <c r="KPJ6"/>
      <c r="KPL6"/>
      <c r="KPN6"/>
      <c r="KPP6"/>
      <c r="KPR6"/>
      <c r="KPT6"/>
      <c r="KPV6"/>
      <c r="KPX6"/>
      <c r="KPZ6"/>
      <c r="KQB6"/>
      <c r="KQD6"/>
      <c r="KQF6"/>
      <c r="KQH6"/>
      <c r="KQJ6"/>
      <c r="KQL6"/>
      <c r="KQN6"/>
      <c r="KQP6"/>
      <c r="KQR6"/>
      <c r="KQT6"/>
      <c r="KQV6"/>
      <c r="KQX6"/>
      <c r="KQZ6"/>
      <c r="KRB6"/>
      <c r="KRD6"/>
      <c r="KRF6"/>
      <c r="KRH6"/>
      <c r="KRJ6"/>
      <c r="KRL6"/>
      <c r="KRN6"/>
      <c r="KRP6"/>
      <c r="KRR6"/>
      <c r="KRT6"/>
      <c r="KRV6"/>
      <c r="KRX6"/>
      <c r="KRZ6"/>
      <c r="KSB6"/>
      <c r="KSD6"/>
      <c r="KSF6"/>
      <c r="KSH6"/>
      <c r="KSJ6"/>
      <c r="KSL6"/>
      <c r="KSN6"/>
      <c r="KSP6"/>
      <c r="KSR6"/>
      <c r="KST6"/>
      <c r="KSV6"/>
      <c r="KSX6"/>
      <c r="KSZ6"/>
      <c r="KTB6"/>
      <c r="KTD6"/>
      <c r="KTF6"/>
      <c r="KTH6"/>
      <c r="KTJ6"/>
      <c r="KTL6"/>
      <c r="KTN6"/>
      <c r="KTP6"/>
      <c r="KTR6"/>
      <c r="KTT6"/>
      <c r="KTV6"/>
      <c r="KTX6"/>
      <c r="KTZ6"/>
      <c r="KUB6"/>
      <c r="KUD6"/>
      <c r="KUF6"/>
      <c r="KUH6"/>
      <c r="KUJ6"/>
      <c r="KUL6"/>
      <c r="KUN6"/>
      <c r="KUP6"/>
      <c r="KUR6"/>
      <c r="KUT6"/>
      <c r="KUV6"/>
      <c r="KUX6"/>
      <c r="KUZ6"/>
      <c r="KVB6"/>
      <c r="KVD6"/>
      <c r="KVF6"/>
      <c r="KVH6"/>
      <c r="KVJ6"/>
      <c r="KVL6"/>
      <c r="KVN6"/>
      <c r="KVP6"/>
      <c r="KVR6"/>
      <c r="KVT6"/>
      <c r="KVV6"/>
      <c r="KVX6"/>
      <c r="KVZ6"/>
      <c r="KWB6"/>
      <c r="KWD6"/>
      <c r="KWF6"/>
      <c r="KWH6"/>
      <c r="KWJ6"/>
      <c r="KWL6"/>
      <c r="KWN6"/>
      <c r="KWP6"/>
      <c r="KWR6"/>
      <c r="KWT6"/>
      <c r="KWV6"/>
      <c r="KWX6"/>
      <c r="KWZ6"/>
      <c r="KXB6"/>
      <c r="KXD6"/>
      <c r="KXF6"/>
      <c r="KXH6"/>
      <c r="KXJ6"/>
      <c r="KXL6"/>
      <c r="KXN6"/>
      <c r="KXP6"/>
      <c r="KXR6"/>
      <c r="KXT6"/>
      <c r="KXV6"/>
      <c r="KXX6"/>
      <c r="KXZ6"/>
      <c r="KYB6"/>
      <c r="KYD6"/>
      <c r="KYF6"/>
      <c r="KYH6"/>
      <c r="KYJ6"/>
      <c r="KYL6"/>
      <c r="KYN6"/>
      <c r="KYP6"/>
      <c r="KYR6"/>
      <c r="KYT6"/>
      <c r="KYV6"/>
      <c r="KYX6"/>
      <c r="KYZ6"/>
      <c r="KZB6"/>
      <c r="KZD6"/>
      <c r="KZF6"/>
      <c r="KZH6"/>
      <c r="KZJ6"/>
      <c r="KZL6"/>
      <c r="KZN6"/>
      <c r="KZP6"/>
      <c r="KZR6"/>
      <c r="KZT6"/>
      <c r="KZV6"/>
      <c r="KZX6"/>
      <c r="KZZ6"/>
      <c r="LAB6"/>
      <c r="LAD6"/>
      <c r="LAF6"/>
      <c r="LAH6"/>
      <c r="LAJ6"/>
      <c r="LAL6"/>
      <c r="LAN6"/>
      <c r="LAP6"/>
      <c r="LAR6"/>
      <c r="LAT6"/>
      <c r="LAV6"/>
      <c r="LAX6"/>
      <c r="LAZ6"/>
      <c r="LBB6"/>
      <c r="LBD6"/>
      <c r="LBF6"/>
      <c r="LBH6"/>
      <c r="LBJ6"/>
      <c r="LBL6"/>
      <c r="LBN6"/>
      <c r="LBP6"/>
      <c r="LBR6"/>
      <c r="LBT6"/>
      <c r="LBV6"/>
      <c r="LBX6"/>
      <c r="LBZ6"/>
      <c r="LCB6"/>
      <c r="LCD6"/>
      <c r="LCF6"/>
      <c r="LCH6"/>
      <c r="LCJ6"/>
      <c r="LCL6"/>
      <c r="LCN6"/>
      <c r="LCP6"/>
      <c r="LCR6"/>
      <c r="LCT6"/>
      <c r="LCV6"/>
      <c r="LCX6"/>
      <c r="LCZ6"/>
      <c r="LDB6"/>
      <c r="LDD6"/>
      <c r="LDF6"/>
      <c r="LDH6"/>
      <c r="LDJ6"/>
      <c r="LDL6"/>
      <c r="LDN6"/>
      <c r="LDP6"/>
      <c r="LDR6"/>
      <c r="LDT6"/>
      <c r="LDV6"/>
      <c r="LDX6"/>
      <c r="LDZ6"/>
      <c r="LEB6"/>
      <c r="LED6"/>
      <c r="LEF6"/>
      <c r="LEH6"/>
      <c r="LEJ6"/>
      <c r="LEL6"/>
      <c r="LEN6"/>
      <c r="LEP6"/>
      <c r="LER6"/>
      <c r="LET6"/>
      <c r="LEV6"/>
      <c r="LEX6"/>
      <c r="LEZ6"/>
      <c r="LFB6"/>
      <c r="LFD6"/>
      <c r="LFF6"/>
      <c r="LFH6"/>
      <c r="LFJ6"/>
      <c r="LFL6"/>
      <c r="LFN6"/>
      <c r="LFP6"/>
      <c r="LFR6"/>
      <c r="LFT6"/>
      <c r="LFV6"/>
      <c r="LFX6"/>
      <c r="LFZ6"/>
      <c r="LGB6"/>
      <c r="LGD6"/>
      <c r="LGF6"/>
      <c r="LGH6"/>
      <c r="LGJ6"/>
      <c r="LGL6"/>
      <c r="LGN6"/>
      <c r="LGP6"/>
      <c r="LGR6"/>
      <c r="LGT6"/>
      <c r="LGV6"/>
      <c r="LGX6"/>
      <c r="LGZ6"/>
      <c r="LHB6"/>
      <c r="LHD6"/>
      <c r="LHF6"/>
      <c r="LHH6"/>
      <c r="LHJ6"/>
      <c r="LHL6"/>
      <c r="LHN6"/>
      <c r="LHP6"/>
      <c r="LHR6"/>
      <c r="LHT6"/>
      <c r="LHV6"/>
      <c r="LHX6"/>
      <c r="LHZ6"/>
      <c r="LIB6"/>
      <c r="LID6"/>
      <c r="LIF6"/>
      <c r="LIH6"/>
      <c r="LIJ6"/>
      <c r="LIL6"/>
      <c r="LIN6"/>
      <c r="LIP6"/>
      <c r="LIR6"/>
      <c r="LIT6"/>
      <c r="LIV6"/>
      <c r="LIX6"/>
      <c r="LIZ6"/>
      <c r="LJB6"/>
      <c r="LJD6"/>
      <c r="LJF6"/>
      <c r="LJH6"/>
      <c r="LJJ6"/>
      <c r="LJL6"/>
      <c r="LJN6"/>
      <c r="LJP6"/>
      <c r="LJR6"/>
      <c r="LJT6"/>
      <c r="LJV6"/>
      <c r="LJX6"/>
      <c r="LJZ6"/>
      <c r="LKB6"/>
      <c r="LKD6"/>
      <c r="LKF6"/>
      <c r="LKH6"/>
      <c r="LKJ6"/>
      <c r="LKL6"/>
      <c r="LKN6"/>
      <c r="LKP6"/>
      <c r="LKR6"/>
      <c r="LKT6"/>
      <c r="LKV6"/>
      <c r="LKX6"/>
      <c r="LKZ6"/>
      <c r="LLB6"/>
      <c r="LLD6"/>
      <c r="LLF6"/>
      <c r="LLH6"/>
      <c r="LLJ6"/>
      <c r="LLL6"/>
      <c r="LLN6"/>
      <c r="LLP6"/>
      <c r="LLR6"/>
      <c r="LLT6"/>
      <c r="LLV6"/>
      <c r="LLX6"/>
      <c r="LLZ6"/>
      <c r="LMB6"/>
      <c r="LMD6"/>
      <c r="LMF6"/>
      <c r="LMH6"/>
      <c r="LMJ6"/>
      <c r="LML6"/>
      <c r="LMN6"/>
      <c r="LMP6"/>
      <c r="LMR6"/>
      <c r="LMT6"/>
      <c r="LMV6"/>
      <c r="LMX6"/>
      <c r="LMZ6"/>
      <c r="LNB6"/>
      <c r="LND6"/>
      <c r="LNF6"/>
      <c r="LNH6"/>
      <c r="LNJ6"/>
      <c r="LNL6"/>
      <c r="LNN6"/>
      <c r="LNP6"/>
      <c r="LNR6"/>
      <c r="LNT6"/>
      <c r="LNV6"/>
      <c r="LNX6"/>
      <c r="LNZ6"/>
      <c r="LOB6"/>
      <c r="LOD6"/>
      <c r="LOF6"/>
      <c r="LOH6"/>
      <c r="LOJ6"/>
      <c r="LOL6"/>
      <c r="LON6"/>
      <c r="LOP6"/>
      <c r="LOR6"/>
      <c r="LOT6"/>
      <c r="LOV6"/>
      <c r="LOX6"/>
      <c r="LOZ6"/>
      <c r="LPB6"/>
      <c r="LPD6"/>
      <c r="LPF6"/>
      <c r="LPH6"/>
      <c r="LPJ6"/>
      <c r="LPL6"/>
      <c r="LPN6"/>
      <c r="LPP6"/>
      <c r="LPR6"/>
      <c r="LPT6"/>
      <c r="LPV6"/>
      <c r="LPX6"/>
      <c r="LPZ6"/>
      <c r="LQB6"/>
      <c r="LQD6"/>
      <c r="LQF6"/>
      <c r="LQH6"/>
      <c r="LQJ6"/>
      <c r="LQL6"/>
      <c r="LQN6"/>
      <c r="LQP6"/>
      <c r="LQR6"/>
      <c r="LQT6"/>
      <c r="LQV6"/>
      <c r="LQX6"/>
      <c r="LQZ6"/>
      <c r="LRB6"/>
      <c r="LRD6"/>
      <c r="LRF6"/>
      <c r="LRH6"/>
      <c r="LRJ6"/>
      <c r="LRL6"/>
      <c r="LRN6"/>
      <c r="LRP6"/>
      <c r="LRR6"/>
      <c r="LRT6"/>
      <c r="LRV6"/>
      <c r="LRX6"/>
      <c r="LRZ6"/>
      <c r="LSB6"/>
      <c r="LSD6"/>
      <c r="LSF6"/>
      <c r="LSH6"/>
      <c r="LSJ6"/>
      <c r="LSL6"/>
      <c r="LSN6"/>
      <c r="LSP6"/>
      <c r="LSR6"/>
      <c r="LST6"/>
      <c r="LSV6"/>
      <c r="LSX6"/>
      <c r="LSZ6"/>
      <c r="LTB6"/>
      <c r="LTD6"/>
      <c r="LTF6"/>
      <c r="LTH6"/>
      <c r="LTJ6"/>
      <c r="LTL6"/>
      <c r="LTN6"/>
      <c r="LTP6"/>
      <c r="LTR6"/>
      <c r="LTT6"/>
      <c r="LTV6"/>
      <c r="LTX6"/>
      <c r="LTZ6"/>
      <c r="LUB6"/>
      <c r="LUD6"/>
      <c r="LUF6"/>
      <c r="LUH6"/>
      <c r="LUJ6"/>
      <c r="LUL6"/>
      <c r="LUN6"/>
      <c r="LUP6"/>
      <c r="LUR6"/>
      <c r="LUT6"/>
      <c r="LUV6"/>
      <c r="LUX6"/>
      <c r="LUZ6"/>
      <c r="LVB6"/>
      <c r="LVD6"/>
      <c r="LVF6"/>
      <c r="LVH6"/>
      <c r="LVJ6"/>
      <c r="LVL6"/>
      <c r="LVN6"/>
      <c r="LVP6"/>
      <c r="LVR6"/>
      <c r="LVT6"/>
      <c r="LVV6"/>
      <c r="LVX6"/>
      <c r="LVZ6"/>
      <c r="LWB6"/>
      <c r="LWD6"/>
      <c r="LWF6"/>
      <c r="LWH6"/>
      <c r="LWJ6"/>
      <c r="LWL6"/>
      <c r="LWN6"/>
      <c r="LWP6"/>
      <c r="LWR6"/>
      <c r="LWT6"/>
      <c r="LWV6"/>
      <c r="LWX6"/>
      <c r="LWZ6"/>
      <c r="LXB6"/>
      <c r="LXD6"/>
      <c r="LXF6"/>
      <c r="LXH6"/>
      <c r="LXJ6"/>
      <c r="LXL6"/>
      <c r="LXN6"/>
      <c r="LXP6"/>
      <c r="LXR6"/>
      <c r="LXT6"/>
      <c r="LXV6"/>
      <c r="LXX6"/>
      <c r="LXZ6"/>
      <c r="LYB6"/>
      <c r="LYD6"/>
      <c r="LYF6"/>
      <c r="LYH6"/>
      <c r="LYJ6"/>
      <c r="LYL6"/>
      <c r="LYN6"/>
      <c r="LYP6"/>
      <c r="LYR6"/>
      <c r="LYT6"/>
      <c r="LYV6"/>
      <c r="LYX6"/>
      <c r="LYZ6"/>
      <c r="LZB6"/>
      <c r="LZD6"/>
      <c r="LZF6"/>
      <c r="LZH6"/>
      <c r="LZJ6"/>
      <c r="LZL6"/>
      <c r="LZN6"/>
      <c r="LZP6"/>
      <c r="LZR6"/>
      <c r="LZT6"/>
      <c r="LZV6"/>
      <c r="LZX6"/>
      <c r="LZZ6"/>
      <c r="MAB6"/>
      <c r="MAD6"/>
      <c r="MAF6"/>
      <c r="MAH6"/>
      <c r="MAJ6"/>
      <c r="MAL6"/>
      <c r="MAN6"/>
      <c r="MAP6"/>
      <c r="MAR6"/>
      <c r="MAT6"/>
      <c r="MAV6"/>
      <c r="MAX6"/>
      <c r="MAZ6"/>
      <c r="MBB6"/>
      <c r="MBD6"/>
      <c r="MBF6"/>
      <c r="MBH6"/>
      <c r="MBJ6"/>
      <c r="MBL6"/>
      <c r="MBN6"/>
      <c r="MBP6"/>
      <c r="MBR6"/>
      <c r="MBT6"/>
      <c r="MBV6"/>
      <c r="MBX6"/>
      <c r="MBZ6"/>
      <c r="MCB6"/>
      <c r="MCD6"/>
      <c r="MCF6"/>
      <c r="MCH6"/>
      <c r="MCJ6"/>
      <c r="MCL6"/>
      <c r="MCN6"/>
      <c r="MCP6"/>
      <c r="MCR6"/>
      <c r="MCT6"/>
      <c r="MCV6"/>
      <c r="MCX6"/>
      <c r="MCZ6"/>
      <c r="MDB6"/>
      <c r="MDD6"/>
      <c r="MDF6"/>
      <c r="MDH6"/>
      <c r="MDJ6"/>
      <c r="MDL6"/>
      <c r="MDN6"/>
      <c r="MDP6"/>
      <c r="MDR6"/>
      <c r="MDT6"/>
      <c r="MDV6"/>
      <c r="MDX6"/>
      <c r="MDZ6"/>
      <c r="MEB6"/>
      <c r="MED6"/>
      <c r="MEF6"/>
      <c r="MEH6"/>
      <c r="MEJ6"/>
      <c r="MEL6"/>
      <c r="MEN6"/>
      <c r="MEP6"/>
      <c r="MER6"/>
      <c r="MET6"/>
      <c r="MEV6"/>
      <c r="MEX6"/>
      <c r="MEZ6"/>
      <c r="MFB6"/>
      <c r="MFD6"/>
      <c r="MFF6"/>
      <c r="MFH6"/>
      <c r="MFJ6"/>
      <c r="MFL6"/>
      <c r="MFN6"/>
      <c r="MFP6"/>
      <c r="MFR6"/>
      <c r="MFT6"/>
      <c r="MFV6"/>
      <c r="MFX6"/>
      <c r="MFZ6"/>
      <c r="MGB6"/>
      <c r="MGD6"/>
      <c r="MGF6"/>
      <c r="MGH6"/>
      <c r="MGJ6"/>
      <c r="MGL6"/>
      <c r="MGN6"/>
      <c r="MGP6"/>
      <c r="MGR6"/>
      <c r="MGT6"/>
      <c r="MGV6"/>
      <c r="MGX6"/>
      <c r="MGZ6"/>
      <c r="MHB6"/>
      <c r="MHD6"/>
      <c r="MHF6"/>
      <c r="MHH6"/>
      <c r="MHJ6"/>
      <c r="MHL6"/>
      <c r="MHN6"/>
      <c r="MHP6"/>
      <c r="MHR6"/>
      <c r="MHT6"/>
      <c r="MHV6"/>
      <c r="MHX6"/>
      <c r="MHZ6"/>
      <c r="MIB6"/>
      <c r="MID6"/>
      <c r="MIF6"/>
      <c r="MIH6"/>
      <c r="MIJ6"/>
      <c r="MIL6"/>
      <c r="MIN6"/>
      <c r="MIP6"/>
      <c r="MIR6"/>
      <c r="MIT6"/>
      <c r="MIV6"/>
      <c r="MIX6"/>
      <c r="MIZ6"/>
      <c r="MJB6"/>
      <c r="MJD6"/>
      <c r="MJF6"/>
      <c r="MJH6"/>
      <c r="MJJ6"/>
      <c r="MJL6"/>
      <c r="MJN6"/>
      <c r="MJP6"/>
      <c r="MJR6"/>
      <c r="MJT6"/>
      <c r="MJV6"/>
      <c r="MJX6"/>
      <c r="MJZ6"/>
      <c r="MKB6"/>
      <c r="MKD6"/>
      <c r="MKF6"/>
      <c r="MKH6"/>
      <c r="MKJ6"/>
      <c r="MKL6"/>
      <c r="MKN6"/>
      <c r="MKP6"/>
      <c r="MKR6"/>
      <c r="MKT6"/>
      <c r="MKV6"/>
      <c r="MKX6"/>
      <c r="MKZ6"/>
      <c r="MLB6"/>
      <c r="MLD6"/>
      <c r="MLF6"/>
      <c r="MLH6"/>
      <c r="MLJ6"/>
      <c r="MLL6"/>
      <c r="MLN6"/>
      <c r="MLP6"/>
      <c r="MLR6"/>
      <c r="MLT6"/>
      <c r="MLV6"/>
      <c r="MLX6"/>
      <c r="MLZ6"/>
      <c r="MMB6"/>
      <c r="MMD6"/>
      <c r="MMF6"/>
      <c r="MMH6"/>
      <c r="MMJ6"/>
      <c r="MML6"/>
      <c r="MMN6"/>
      <c r="MMP6"/>
      <c r="MMR6"/>
      <c r="MMT6"/>
      <c r="MMV6"/>
      <c r="MMX6"/>
      <c r="MMZ6"/>
      <c r="MNB6"/>
      <c r="MND6"/>
      <c r="MNF6"/>
      <c r="MNH6"/>
      <c r="MNJ6"/>
      <c r="MNL6"/>
      <c r="MNN6"/>
      <c r="MNP6"/>
      <c r="MNR6"/>
      <c r="MNT6"/>
      <c r="MNV6"/>
      <c r="MNX6"/>
      <c r="MNZ6"/>
      <c r="MOB6"/>
      <c r="MOD6"/>
      <c r="MOF6"/>
      <c r="MOH6"/>
      <c r="MOJ6"/>
      <c r="MOL6"/>
      <c r="MON6"/>
      <c r="MOP6"/>
      <c r="MOR6"/>
      <c r="MOT6"/>
      <c r="MOV6"/>
      <c r="MOX6"/>
      <c r="MOZ6"/>
      <c r="MPB6"/>
      <c r="MPD6"/>
      <c r="MPF6"/>
      <c r="MPH6"/>
      <c r="MPJ6"/>
      <c r="MPL6"/>
      <c r="MPN6"/>
      <c r="MPP6"/>
      <c r="MPR6"/>
      <c r="MPT6"/>
      <c r="MPV6"/>
      <c r="MPX6"/>
      <c r="MPZ6"/>
      <c r="MQB6"/>
      <c r="MQD6"/>
      <c r="MQF6"/>
      <c r="MQH6"/>
      <c r="MQJ6"/>
      <c r="MQL6"/>
      <c r="MQN6"/>
      <c r="MQP6"/>
      <c r="MQR6"/>
      <c r="MQT6"/>
      <c r="MQV6"/>
      <c r="MQX6"/>
      <c r="MQZ6"/>
      <c r="MRB6"/>
      <c r="MRD6"/>
      <c r="MRF6"/>
      <c r="MRH6"/>
      <c r="MRJ6"/>
      <c r="MRL6"/>
      <c r="MRN6"/>
      <c r="MRP6"/>
      <c r="MRR6"/>
      <c r="MRT6"/>
      <c r="MRV6"/>
      <c r="MRX6"/>
      <c r="MRZ6"/>
      <c r="MSB6"/>
      <c r="MSD6"/>
      <c r="MSF6"/>
      <c r="MSH6"/>
      <c r="MSJ6"/>
      <c r="MSL6"/>
      <c r="MSN6"/>
      <c r="MSP6"/>
      <c r="MSR6"/>
      <c r="MST6"/>
      <c r="MSV6"/>
      <c r="MSX6"/>
      <c r="MSZ6"/>
      <c r="MTB6"/>
      <c r="MTD6"/>
      <c r="MTF6"/>
      <c r="MTH6"/>
      <c r="MTJ6"/>
      <c r="MTL6"/>
      <c r="MTN6"/>
      <c r="MTP6"/>
      <c r="MTR6"/>
      <c r="MTT6"/>
      <c r="MTV6"/>
      <c r="MTX6"/>
      <c r="MTZ6"/>
      <c r="MUB6"/>
      <c r="MUD6"/>
      <c r="MUF6"/>
      <c r="MUH6"/>
      <c r="MUJ6"/>
      <c r="MUL6"/>
      <c r="MUN6"/>
      <c r="MUP6"/>
      <c r="MUR6"/>
      <c r="MUT6"/>
      <c r="MUV6"/>
      <c r="MUX6"/>
      <c r="MUZ6"/>
      <c r="MVB6"/>
      <c r="MVD6"/>
      <c r="MVF6"/>
      <c r="MVH6"/>
      <c r="MVJ6"/>
      <c r="MVL6"/>
      <c r="MVN6"/>
      <c r="MVP6"/>
      <c r="MVR6"/>
      <c r="MVT6"/>
      <c r="MVV6"/>
      <c r="MVX6"/>
      <c r="MVZ6"/>
      <c r="MWB6"/>
      <c r="MWD6"/>
      <c r="MWF6"/>
      <c r="MWH6"/>
      <c r="MWJ6"/>
      <c r="MWL6"/>
      <c r="MWN6"/>
      <c r="MWP6"/>
      <c r="MWR6"/>
      <c r="MWT6"/>
      <c r="MWV6"/>
      <c r="MWX6"/>
      <c r="MWZ6"/>
      <c r="MXB6"/>
      <c r="MXD6"/>
      <c r="MXF6"/>
      <c r="MXH6"/>
      <c r="MXJ6"/>
      <c r="MXL6"/>
      <c r="MXN6"/>
      <c r="MXP6"/>
      <c r="MXR6"/>
      <c r="MXT6"/>
      <c r="MXV6"/>
      <c r="MXX6"/>
      <c r="MXZ6"/>
      <c r="MYB6"/>
      <c r="MYD6"/>
      <c r="MYF6"/>
      <c r="MYH6"/>
      <c r="MYJ6"/>
      <c r="MYL6"/>
      <c r="MYN6"/>
      <c r="MYP6"/>
      <c r="MYR6"/>
      <c r="MYT6"/>
      <c r="MYV6"/>
      <c r="MYX6"/>
      <c r="MYZ6"/>
      <c r="MZB6"/>
      <c r="MZD6"/>
      <c r="MZF6"/>
      <c r="MZH6"/>
      <c r="MZJ6"/>
      <c r="MZL6"/>
      <c r="MZN6"/>
      <c r="MZP6"/>
      <c r="MZR6"/>
      <c r="MZT6"/>
      <c r="MZV6"/>
      <c r="MZX6"/>
      <c r="MZZ6"/>
      <c r="NAB6"/>
      <c r="NAD6"/>
      <c r="NAF6"/>
      <c r="NAH6"/>
      <c r="NAJ6"/>
      <c r="NAL6"/>
      <c r="NAN6"/>
      <c r="NAP6"/>
      <c r="NAR6"/>
      <c r="NAT6"/>
      <c r="NAV6"/>
      <c r="NAX6"/>
      <c r="NAZ6"/>
      <c r="NBB6"/>
      <c r="NBD6"/>
      <c r="NBF6"/>
      <c r="NBH6"/>
      <c r="NBJ6"/>
      <c r="NBL6"/>
      <c r="NBN6"/>
      <c r="NBP6"/>
      <c r="NBR6"/>
      <c r="NBT6"/>
      <c r="NBV6"/>
      <c r="NBX6"/>
      <c r="NBZ6"/>
      <c r="NCB6"/>
      <c r="NCD6"/>
      <c r="NCF6"/>
      <c r="NCH6"/>
      <c r="NCJ6"/>
      <c r="NCL6"/>
      <c r="NCN6"/>
      <c r="NCP6"/>
      <c r="NCR6"/>
      <c r="NCT6"/>
      <c r="NCV6"/>
      <c r="NCX6"/>
      <c r="NCZ6"/>
      <c r="NDB6"/>
      <c r="NDD6"/>
      <c r="NDF6"/>
      <c r="NDH6"/>
      <c r="NDJ6"/>
      <c r="NDL6"/>
      <c r="NDN6"/>
      <c r="NDP6"/>
      <c r="NDR6"/>
      <c r="NDT6"/>
      <c r="NDV6"/>
      <c r="NDX6"/>
      <c r="NDZ6"/>
      <c r="NEB6"/>
      <c r="NED6"/>
      <c r="NEF6"/>
      <c r="NEH6"/>
      <c r="NEJ6"/>
      <c r="NEL6"/>
      <c r="NEN6"/>
      <c r="NEP6"/>
      <c r="NER6"/>
      <c r="NET6"/>
      <c r="NEV6"/>
      <c r="NEX6"/>
      <c r="NEZ6"/>
      <c r="NFB6"/>
      <c r="NFD6"/>
      <c r="NFF6"/>
      <c r="NFH6"/>
      <c r="NFJ6"/>
      <c r="NFL6"/>
      <c r="NFN6"/>
      <c r="NFP6"/>
      <c r="NFR6"/>
      <c r="NFT6"/>
      <c r="NFV6"/>
      <c r="NFX6"/>
      <c r="NFZ6"/>
      <c r="NGB6"/>
      <c r="NGD6"/>
      <c r="NGF6"/>
      <c r="NGH6"/>
      <c r="NGJ6"/>
      <c r="NGL6"/>
      <c r="NGN6"/>
      <c r="NGP6"/>
      <c r="NGR6"/>
      <c r="NGT6"/>
      <c r="NGV6"/>
      <c r="NGX6"/>
      <c r="NGZ6"/>
      <c r="NHB6"/>
      <c r="NHD6"/>
      <c r="NHF6"/>
      <c r="NHH6"/>
      <c r="NHJ6"/>
      <c r="NHL6"/>
      <c r="NHN6"/>
      <c r="NHP6"/>
      <c r="NHR6"/>
      <c r="NHT6"/>
      <c r="NHV6"/>
      <c r="NHX6"/>
      <c r="NHZ6"/>
      <c r="NIB6"/>
      <c r="NID6"/>
      <c r="NIF6"/>
      <c r="NIH6"/>
      <c r="NIJ6"/>
      <c r="NIL6"/>
      <c r="NIN6"/>
      <c r="NIP6"/>
      <c r="NIR6"/>
      <c r="NIT6"/>
      <c r="NIV6"/>
      <c r="NIX6"/>
      <c r="NIZ6"/>
      <c r="NJB6"/>
      <c r="NJD6"/>
      <c r="NJF6"/>
      <c r="NJH6"/>
      <c r="NJJ6"/>
      <c r="NJL6"/>
      <c r="NJN6"/>
      <c r="NJP6"/>
      <c r="NJR6"/>
      <c r="NJT6"/>
      <c r="NJV6"/>
      <c r="NJX6"/>
      <c r="NJZ6"/>
      <c r="NKB6"/>
      <c r="NKD6"/>
      <c r="NKF6"/>
      <c r="NKH6"/>
      <c r="NKJ6"/>
      <c r="NKL6"/>
      <c r="NKN6"/>
      <c r="NKP6"/>
      <c r="NKR6"/>
      <c r="NKT6"/>
      <c r="NKV6"/>
      <c r="NKX6"/>
      <c r="NKZ6"/>
      <c r="NLB6"/>
      <c r="NLD6"/>
      <c r="NLF6"/>
      <c r="NLH6"/>
      <c r="NLJ6"/>
      <c r="NLL6"/>
      <c r="NLN6"/>
      <c r="NLP6"/>
      <c r="NLR6"/>
      <c r="NLT6"/>
      <c r="NLV6"/>
      <c r="NLX6"/>
      <c r="NLZ6"/>
      <c r="NMB6"/>
      <c r="NMD6"/>
      <c r="NMF6"/>
      <c r="NMH6"/>
      <c r="NMJ6"/>
      <c r="NML6"/>
      <c r="NMN6"/>
      <c r="NMP6"/>
      <c r="NMR6"/>
      <c r="NMT6"/>
      <c r="NMV6"/>
      <c r="NMX6"/>
      <c r="NMZ6"/>
      <c r="NNB6"/>
      <c r="NND6"/>
      <c r="NNF6"/>
      <c r="NNH6"/>
      <c r="NNJ6"/>
      <c r="NNL6"/>
      <c r="NNN6"/>
      <c r="NNP6"/>
      <c r="NNR6"/>
      <c r="NNT6"/>
      <c r="NNV6"/>
      <c r="NNX6"/>
      <c r="NNZ6"/>
      <c r="NOB6"/>
      <c r="NOD6"/>
      <c r="NOF6"/>
      <c r="NOH6"/>
      <c r="NOJ6"/>
      <c r="NOL6"/>
      <c r="NON6"/>
      <c r="NOP6"/>
      <c r="NOR6"/>
      <c r="NOT6"/>
      <c r="NOV6"/>
      <c r="NOX6"/>
      <c r="NOZ6"/>
      <c r="NPB6"/>
      <c r="NPD6"/>
      <c r="NPF6"/>
      <c r="NPH6"/>
      <c r="NPJ6"/>
      <c r="NPL6"/>
      <c r="NPN6"/>
      <c r="NPP6"/>
      <c r="NPR6"/>
      <c r="NPT6"/>
      <c r="NPV6"/>
      <c r="NPX6"/>
      <c r="NPZ6"/>
      <c r="NQB6"/>
      <c r="NQD6"/>
      <c r="NQF6"/>
      <c r="NQH6"/>
      <c r="NQJ6"/>
      <c r="NQL6"/>
      <c r="NQN6"/>
      <c r="NQP6"/>
      <c r="NQR6"/>
      <c r="NQT6"/>
      <c r="NQV6"/>
      <c r="NQX6"/>
      <c r="NQZ6"/>
      <c r="NRB6"/>
      <c r="NRD6"/>
      <c r="NRF6"/>
      <c r="NRH6"/>
      <c r="NRJ6"/>
      <c r="NRL6"/>
      <c r="NRN6"/>
      <c r="NRP6"/>
      <c r="NRR6"/>
      <c r="NRT6"/>
      <c r="NRV6"/>
      <c r="NRX6"/>
      <c r="NRZ6"/>
      <c r="NSB6"/>
      <c r="NSD6"/>
      <c r="NSF6"/>
      <c r="NSH6"/>
      <c r="NSJ6"/>
      <c r="NSL6"/>
      <c r="NSN6"/>
      <c r="NSP6"/>
      <c r="NSR6"/>
      <c r="NST6"/>
      <c r="NSV6"/>
      <c r="NSX6"/>
      <c r="NSZ6"/>
      <c r="NTB6"/>
      <c r="NTD6"/>
      <c r="NTF6"/>
      <c r="NTH6"/>
      <c r="NTJ6"/>
      <c r="NTL6"/>
      <c r="NTN6"/>
      <c r="NTP6"/>
      <c r="NTR6"/>
      <c r="NTT6"/>
      <c r="NTV6"/>
      <c r="NTX6"/>
      <c r="NTZ6"/>
      <c r="NUB6"/>
      <c r="NUD6"/>
      <c r="NUF6"/>
      <c r="NUH6"/>
      <c r="NUJ6"/>
      <c r="NUL6"/>
      <c r="NUN6"/>
      <c r="NUP6"/>
      <c r="NUR6"/>
      <c r="NUT6"/>
      <c r="NUV6"/>
      <c r="NUX6"/>
      <c r="NUZ6"/>
      <c r="NVB6"/>
      <c r="NVD6"/>
      <c r="NVF6"/>
      <c r="NVH6"/>
      <c r="NVJ6"/>
      <c r="NVL6"/>
      <c r="NVN6"/>
      <c r="NVP6"/>
      <c r="NVR6"/>
      <c r="NVT6"/>
      <c r="NVV6"/>
      <c r="NVX6"/>
      <c r="NVZ6"/>
      <c r="NWB6"/>
      <c r="NWD6"/>
      <c r="NWF6"/>
      <c r="NWH6"/>
      <c r="NWJ6"/>
      <c r="NWL6"/>
      <c r="NWN6"/>
      <c r="NWP6"/>
      <c r="NWR6"/>
      <c r="NWT6"/>
      <c r="NWV6"/>
      <c r="NWX6"/>
      <c r="NWZ6"/>
      <c r="NXB6"/>
      <c r="NXD6"/>
      <c r="NXF6"/>
      <c r="NXH6"/>
      <c r="NXJ6"/>
      <c r="NXL6"/>
      <c r="NXN6"/>
      <c r="NXP6"/>
      <c r="NXR6"/>
      <c r="NXT6"/>
      <c r="NXV6"/>
      <c r="NXX6"/>
      <c r="NXZ6"/>
      <c r="NYB6"/>
      <c r="NYD6"/>
      <c r="NYF6"/>
      <c r="NYH6"/>
      <c r="NYJ6"/>
      <c r="NYL6"/>
      <c r="NYN6"/>
      <c r="NYP6"/>
      <c r="NYR6"/>
      <c r="NYT6"/>
      <c r="NYV6"/>
      <c r="NYX6"/>
      <c r="NYZ6"/>
      <c r="NZB6"/>
      <c r="NZD6"/>
      <c r="NZF6"/>
      <c r="NZH6"/>
      <c r="NZJ6"/>
      <c r="NZL6"/>
      <c r="NZN6"/>
      <c r="NZP6"/>
      <c r="NZR6"/>
      <c r="NZT6"/>
      <c r="NZV6"/>
      <c r="NZX6"/>
      <c r="NZZ6"/>
      <c r="OAB6"/>
      <c r="OAD6"/>
      <c r="OAF6"/>
      <c r="OAH6"/>
      <c r="OAJ6"/>
      <c r="OAL6"/>
      <c r="OAN6"/>
      <c r="OAP6"/>
      <c r="OAR6"/>
      <c r="OAT6"/>
      <c r="OAV6"/>
      <c r="OAX6"/>
      <c r="OAZ6"/>
      <c r="OBB6"/>
      <c r="OBD6"/>
      <c r="OBF6"/>
      <c r="OBH6"/>
      <c r="OBJ6"/>
      <c r="OBL6"/>
      <c r="OBN6"/>
      <c r="OBP6"/>
      <c r="OBR6"/>
      <c r="OBT6"/>
      <c r="OBV6"/>
      <c r="OBX6"/>
      <c r="OBZ6"/>
      <c r="OCB6"/>
      <c r="OCD6"/>
      <c r="OCF6"/>
      <c r="OCH6"/>
      <c r="OCJ6"/>
      <c r="OCL6"/>
      <c r="OCN6"/>
      <c r="OCP6"/>
      <c r="OCR6"/>
      <c r="OCT6"/>
      <c r="OCV6"/>
      <c r="OCX6"/>
      <c r="OCZ6"/>
      <c r="ODB6"/>
      <c r="ODD6"/>
      <c r="ODF6"/>
      <c r="ODH6"/>
      <c r="ODJ6"/>
      <c r="ODL6"/>
      <c r="ODN6"/>
      <c r="ODP6"/>
      <c r="ODR6"/>
      <c r="ODT6"/>
      <c r="ODV6"/>
      <c r="ODX6"/>
      <c r="ODZ6"/>
      <c r="OEB6"/>
      <c r="OED6"/>
      <c r="OEF6"/>
      <c r="OEH6"/>
      <c r="OEJ6"/>
      <c r="OEL6"/>
      <c r="OEN6"/>
      <c r="OEP6"/>
      <c r="OER6"/>
      <c r="OET6"/>
      <c r="OEV6"/>
      <c r="OEX6"/>
      <c r="OEZ6"/>
      <c r="OFB6"/>
      <c r="OFD6"/>
      <c r="OFF6"/>
      <c r="OFH6"/>
      <c r="OFJ6"/>
      <c r="OFL6"/>
      <c r="OFN6"/>
      <c r="OFP6"/>
      <c r="OFR6"/>
      <c r="OFT6"/>
      <c r="OFV6"/>
      <c r="OFX6"/>
      <c r="OFZ6"/>
      <c r="OGB6"/>
      <c r="OGD6"/>
      <c r="OGF6"/>
      <c r="OGH6"/>
      <c r="OGJ6"/>
      <c r="OGL6"/>
      <c r="OGN6"/>
      <c r="OGP6"/>
      <c r="OGR6"/>
      <c r="OGT6"/>
      <c r="OGV6"/>
      <c r="OGX6"/>
      <c r="OGZ6"/>
      <c r="OHB6"/>
      <c r="OHD6"/>
      <c r="OHF6"/>
      <c r="OHH6"/>
      <c r="OHJ6"/>
      <c r="OHL6"/>
      <c r="OHN6"/>
      <c r="OHP6"/>
      <c r="OHR6"/>
      <c r="OHT6"/>
      <c r="OHV6"/>
      <c r="OHX6"/>
      <c r="OHZ6"/>
      <c r="OIB6"/>
      <c r="OID6"/>
      <c r="OIF6"/>
      <c r="OIH6"/>
      <c r="OIJ6"/>
      <c r="OIL6"/>
      <c r="OIN6"/>
      <c r="OIP6"/>
      <c r="OIR6"/>
      <c r="OIT6"/>
      <c r="OIV6"/>
      <c r="OIX6"/>
      <c r="OIZ6"/>
      <c r="OJB6"/>
      <c r="OJD6"/>
      <c r="OJF6"/>
      <c r="OJH6"/>
      <c r="OJJ6"/>
      <c r="OJL6"/>
      <c r="OJN6"/>
      <c r="OJP6"/>
      <c r="OJR6"/>
      <c r="OJT6"/>
      <c r="OJV6"/>
      <c r="OJX6"/>
      <c r="OJZ6"/>
      <c r="OKB6"/>
      <c r="OKD6"/>
      <c r="OKF6"/>
      <c r="OKH6"/>
      <c r="OKJ6"/>
      <c r="OKL6"/>
      <c r="OKN6"/>
      <c r="OKP6"/>
      <c r="OKR6"/>
      <c r="OKT6"/>
      <c r="OKV6"/>
      <c r="OKX6"/>
      <c r="OKZ6"/>
      <c r="OLB6"/>
      <c r="OLD6"/>
      <c r="OLF6"/>
      <c r="OLH6"/>
      <c r="OLJ6"/>
      <c r="OLL6"/>
      <c r="OLN6"/>
      <c r="OLP6"/>
      <c r="OLR6"/>
      <c r="OLT6"/>
      <c r="OLV6"/>
      <c r="OLX6"/>
      <c r="OLZ6"/>
      <c r="OMB6"/>
      <c r="OMD6"/>
      <c r="OMF6"/>
      <c r="OMH6"/>
      <c r="OMJ6"/>
      <c r="OML6"/>
      <c r="OMN6"/>
      <c r="OMP6"/>
      <c r="OMR6"/>
      <c r="OMT6"/>
      <c r="OMV6"/>
      <c r="OMX6"/>
      <c r="OMZ6"/>
      <c r="ONB6"/>
      <c r="OND6"/>
      <c r="ONF6"/>
      <c r="ONH6"/>
      <c r="ONJ6"/>
      <c r="ONL6"/>
      <c r="ONN6"/>
      <c r="ONP6"/>
      <c r="ONR6"/>
      <c r="ONT6"/>
      <c r="ONV6"/>
      <c r="ONX6"/>
      <c r="ONZ6"/>
      <c r="OOB6"/>
      <c r="OOD6"/>
      <c r="OOF6"/>
      <c r="OOH6"/>
      <c r="OOJ6"/>
      <c r="OOL6"/>
      <c r="OON6"/>
      <c r="OOP6"/>
      <c r="OOR6"/>
      <c r="OOT6"/>
      <c r="OOV6"/>
      <c r="OOX6"/>
      <c r="OOZ6"/>
      <c r="OPB6"/>
      <c r="OPD6"/>
      <c r="OPF6"/>
      <c r="OPH6"/>
      <c r="OPJ6"/>
      <c r="OPL6"/>
      <c r="OPN6"/>
      <c r="OPP6"/>
      <c r="OPR6"/>
      <c r="OPT6"/>
      <c r="OPV6"/>
      <c r="OPX6"/>
      <c r="OPZ6"/>
      <c r="OQB6"/>
      <c r="OQD6"/>
      <c r="OQF6"/>
      <c r="OQH6"/>
      <c r="OQJ6"/>
      <c r="OQL6"/>
      <c r="OQN6"/>
      <c r="OQP6"/>
      <c r="OQR6"/>
      <c r="OQT6"/>
      <c r="OQV6"/>
      <c r="OQX6"/>
      <c r="OQZ6"/>
      <c r="ORB6"/>
      <c r="ORD6"/>
      <c r="ORF6"/>
      <c r="ORH6"/>
      <c r="ORJ6"/>
      <c r="ORL6"/>
      <c r="ORN6"/>
      <c r="ORP6"/>
      <c r="ORR6"/>
      <c r="ORT6"/>
      <c r="ORV6"/>
      <c r="ORX6"/>
      <c r="ORZ6"/>
      <c r="OSB6"/>
      <c r="OSD6"/>
      <c r="OSF6"/>
      <c r="OSH6"/>
      <c r="OSJ6"/>
      <c r="OSL6"/>
      <c r="OSN6"/>
      <c r="OSP6"/>
      <c r="OSR6"/>
      <c r="OST6"/>
      <c r="OSV6"/>
      <c r="OSX6"/>
      <c r="OSZ6"/>
      <c r="OTB6"/>
      <c r="OTD6"/>
      <c r="OTF6"/>
      <c r="OTH6"/>
      <c r="OTJ6"/>
      <c r="OTL6"/>
      <c r="OTN6"/>
      <c r="OTP6"/>
      <c r="OTR6"/>
      <c r="OTT6"/>
      <c r="OTV6"/>
      <c r="OTX6"/>
      <c r="OTZ6"/>
      <c r="OUB6"/>
      <c r="OUD6"/>
      <c r="OUF6"/>
      <c r="OUH6"/>
      <c r="OUJ6"/>
      <c r="OUL6"/>
      <c r="OUN6"/>
      <c r="OUP6"/>
      <c r="OUR6"/>
      <c r="OUT6"/>
      <c r="OUV6"/>
      <c r="OUX6"/>
      <c r="OUZ6"/>
      <c r="OVB6"/>
      <c r="OVD6"/>
      <c r="OVF6"/>
      <c r="OVH6"/>
      <c r="OVJ6"/>
      <c r="OVL6"/>
      <c r="OVN6"/>
      <c r="OVP6"/>
      <c r="OVR6"/>
      <c r="OVT6"/>
      <c r="OVV6"/>
      <c r="OVX6"/>
      <c r="OVZ6"/>
      <c r="OWB6"/>
      <c r="OWD6"/>
      <c r="OWF6"/>
      <c r="OWH6"/>
      <c r="OWJ6"/>
      <c r="OWL6"/>
      <c r="OWN6"/>
      <c r="OWP6"/>
      <c r="OWR6"/>
      <c r="OWT6"/>
      <c r="OWV6"/>
      <c r="OWX6"/>
      <c r="OWZ6"/>
      <c r="OXB6"/>
      <c r="OXD6"/>
      <c r="OXF6"/>
      <c r="OXH6"/>
      <c r="OXJ6"/>
      <c r="OXL6"/>
      <c r="OXN6"/>
      <c r="OXP6"/>
      <c r="OXR6"/>
      <c r="OXT6"/>
      <c r="OXV6"/>
      <c r="OXX6"/>
      <c r="OXZ6"/>
      <c r="OYB6"/>
      <c r="OYD6"/>
      <c r="OYF6"/>
      <c r="OYH6"/>
      <c r="OYJ6"/>
      <c r="OYL6"/>
      <c r="OYN6"/>
      <c r="OYP6"/>
      <c r="OYR6"/>
      <c r="OYT6"/>
      <c r="OYV6"/>
      <c r="OYX6"/>
      <c r="OYZ6"/>
      <c r="OZB6"/>
      <c r="OZD6"/>
      <c r="OZF6"/>
      <c r="OZH6"/>
      <c r="OZJ6"/>
      <c r="OZL6"/>
      <c r="OZN6"/>
      <c r="OZP6"/>
      <c r="OZR6"/>
      <c r="OZT6"/>
      <c r="OZV6"/>
      <c r="OZX6"/>
      <c r="OZZ6"/>
      <c r="PAB6"/>
      <c r="PAD6"/>
      <c r="PAF6"/>
      <c r="PAH6"/>
      <c r="PAJ6"/>
      <c r="PAL6"/>
      <c r="PAN6"/>
      <c r="PAP6"/>
      <c r="PAR6"/>
      <c r="PAT6"/>
      <c r="PAV6"/>
      <c r="PAX6"/>
      <c r="PAZ6"/>
      <c r="PBB6"/>
      <c r="PBD6"/>
      <c r="PBF6"/>
      <c r="PBH6"/>
      <c r="PBJ6"/>
      <c r="PBL6"/>
      <c r="PBN6"/>
      <c r="PBP6"/>
      <c r="PBR6"/>
      <c r="PBT6"/>
      <c r="PBV6"/>
      <c r="PBX6"/>
      <c r="PBZ6"/>
      <c r="PCB6"/>
      <c r="PCD6"/>
      <c r="PCF6"/>
      <c r="PCH6"/>
      <c r="PCJ6"/>
      <c r="PCL6"/>
      <c r="PCN6"/>
      <c r="PCP6"/>
      <c r="PCR6"/>
      <c r="PCT6"/>
      <c r="PCV6"/>
      <c r="PCX6"/>
      <c r="PCZ6"/>
      <c r="PDB6"/>
      <c r="PDD6"/>
      <c r="PDF6"/>
      <c r="PDH6"/>
      <c r="PDJ6"/>
      <c r="PDL6"/>
      <c r="PDN6"/>
      <c r="PDP6"/>
      <c r="PDR6"/>
      <c r="PDT6"/>
      <c r="PDV6"/>
      <c r="PDX6"/>
      <c r="PDZ6"/>
      <c r="PEB6"/>
      <c r="PED6"/>
      <c r="PEF6"/>
      <c r="PEH6"/>
      <c r="PEJ6"/>
      <c r="PEL6"/>
      <c r="PEN6"/>
      <c r="PEP6"/>
      <c r="PER6"/>
      <c r="PET6"/>
      <c r="PEV6"/>
      <c r="PEX6"/>
      <c r="PEZ6"/>
      <c r="PFB6"/>
      <c r="PFD6"/>
      <c r="PFF6"/>
      <c r="PFH6"/>
      <c r="PFJ6"/>
      <c r="PFL6"/>
      <c r="PFN6"/>
      <c r="PFP6"/>
      <c r="PFR6"/>
      <c r="PFT6"/>
      <c r="PFV6"/>
      <c r="PFX6"/>
      <c r="PFZ6"/>
      <c r="PGB6"/>
      <c r="PGD6"/>
      <c r="PGF6"/>
      <c r="PGH6"/>
      <c r="PGJ6"/>
      <c r="PGL6"/>
      <c r="PGN6"/>
      <c r="PGP6"/>
      <c r="PGR6"/>
      <c r="PGT6"/>
      <c r="PGV6"/>
      <c r="PGX6"/>
      <c r="PGZ6"/>
      <c r="PHB6"/>
      <c r="PHD6"/>
      <c r="PHF6"/>
      <c r="PHH6"/>
      <c r="PHJ6"/>
      <c r="PHL6"/>
      <c r="PHN6"/>
      <c r="PHP6"/>
      <c r="PHR6"/>
      <c r="PHT6"/>
      <c r="PHV6"/>
      <c r="PHX6"/>
      <c r="PHZ6"/>
      <c r="PIB6"/>
      <c r="PID6"/>
      <c r="PIF6"/>
      <c r="PIH6"/>
      <c r="PIJ6"/>
      <c r="PIL6"/>
      <c r="PIN6"/>
      <c r="PIP6"/>
      <c r="PIR6"/>
      <c r="PIT6"/>
      <c r="PIV6"/>
      <c r="PIX6"/>
      <c r="PIZ6"/>
      <c r="PJB6"/>
      <c r="PJD6"/>
      <c r="PJF6"/>
      <c r="PJH6"/>
      <c r="PJJ6"/>
      <c r="PJL6"/>
      <c r="PJN6"/>
      <c r="PJP6"/>
      <c r="PJR6"/>
      <c r="PJT6"/>
      <c r="PJV6"/>
      <c r="PJX6"/>
      <c r="PJZ6"/>
      <c r="PKB6"/>
      <c r="PKD6"/>
      <c r="PKF6"/>
      <c r="PKH6"/>
      <c r="PKJ6"/>
      <c r="PKL6"/>
      <c r="PKN6"/>
      <c r="PKP6"/>
      <c r="PKR6"/>
      <c r="PKT6"/>
      <c r="PKV6"/>
      <c r="PKX6"/>
      <c r="PKZ6"/>
      <c r="PLB6"/>
      <c r="PLD6"/>
      <c r="PLF6"/>
      <c r="PLH6"/>
      <c r="PLJ6"/>
      <c r="PLL6"/>
      <c r="PLN6"/>
      <c r="PLP6"/>
      <c r="PLR6"/>
      <c r="PLT6"/>
      <c r="PLV6"/>
      <c r="PLX6"/>
      <c r="PLZ6"/>
      <c r="PMB6"/>
      <c r="PMD6"/>
      <c r="PMF6"/>
      <c r="PMH6"/>
      <c r="PMJ6"/>
      <c r="PML6"/>
      <c r="PMN6"/>
      <c r="PMP6"/>
      <c r="PMR6"/>
      <c r="PMT6"/>
      <c r="PMV6"/>
      <c r="PMX6"/>
      <c r="PMZ6"/>
      <c r="PNB6"/>
      <c r="PND6"/>
      <c r="PNF6"/>
      <c r="PNH6"/>
      <c r="PNJ6"/>
      <c r="PNL6"/>
      <c r="PNN6"/>
      <c r="PNP6"/>
      <c r="PNR6"/>
      <c r="PNT6"/>
      <c r="PNV6"/>
      <c r="PNX6"/>
      <c r="PNZ6"/>
      <c r="POB6"/>
      <c r="POD6"/>
      <c r="POF6"/>
      <c r="POH6"/>
      <c r="POJ6"/>
      <c r="POL6"/>
      <c r="PON6"/>
      <c r="POP6"/>
      <c r="POR6"/>
      <c r="POT6"/>
      <c r="POV6"/>
      <c r="POX6"/>
      <c r="POZ6"/>
      <c r="PPB6"/>
      <c r="PPD6"/>
      <c r="PPF6"/>
      <c r="PPH6"/>
      <c r="PPJ6"/>
      <c r="PPL6"/>
      <c r="PPN6"/>
      <c r="PPP6"/>
      <c r="PPR6"/>
      <c r="PPT6"/>
      <c r="PPV6"/>
      <c r="PPX6"/>
      <c r="PPZ6"/>
      <c r="PQB6"/>
      <c r="PQD6"/>
      <c r="PQF6"/>
      <c r="PQH6"/>
      <c r="PQJ6"/>
      <c r="PQL6"/>
      <c r="PQN6"/>
      <c r="PQP6"/>
      <c r="PQR6"/>
      <c r="PQT6"/>
      <c r="PQV6"/>
      <c r="PQX6"/>
      <c r="PQZ6"/>
      <c r="PRB6"/>
      <c r="PRD6"/>
      <c r="PRF6"/>
      <c r="PRH6"/>
      <c r="PRJ6"/>
      <c r="PRL6"/>
      <c r="PRN6"/>
      <c r="PRP6"/>
      <c r="PRR6"/>
      <c r="PRT6"/>
      <c r="PRV6"/>
      <c r="PRX6"/>
      <c r="PRZ6"/>
      <c r="PSB6"/>
      <c r="PSD6"/>
      <c r="PSF6"/>
      <c r="PSH6"/>
      <c r="PSJ6"/>
      <c r="PSL6"/>
      <c r="PSN6"/>
      <c r="PSP6"/>
      <c r="PSR6"/>
      <c r="PST6"/>
      <c r="PSV6"/>
      <c r="PSX6"/>
      <c r="PSZ6"/>
      <c r="PTB6"/>
      <c r="PTD6"/>
      <c r="PTF6"/>
      <c r="PTH6"/>
      <c r="PTJ6"/>
      <c r="PTL6"/>
      <c r="PTN6"/>
      <c r="PTP6"/>
      <c r="PTR6"/>
      <c r="PTT6"/>
      <c r="PTV6"/>
      <c r="PTX6"/>
      <c r="PTZ6"/>
      <c r="PUB6"/>
      <c r="PUD6"/>
      <c r="PUF6"/>
      <c r="PUH6"/>
      <c r="PUJ6"/>
      <c r="PUL6"/>
      <c r="PUN6"/>
      <c r="PUP6"/>
      <c r="PUR6"/>
      <c r="PUT6"/>
      <c r="PUV6"/>
      <c r="PUX6"/>
      <c r="PUZ6"/>
      <c r="PVB6"/>
      <c r="PVD6"/>
      <c r="PVF6"/>
      <c r="PVH6"/>
      <c r="PVJ6"/>
      <c r="PVL6"/>
      <c r="PVN6"/>
      <c r="PVP6"/>
      <c r="PVR6"/>
      <c r="PVT6"/>
      <c r="PVV6"/>
      <c r="PVX6"/>
      <c r="PVZ6"/>
      <c r="PWB6"/>
      <c r="PWD6"/>
      <c r="PWF6"/>
      <c r="PWH6"/>
      <c r="PWJ6"/>
      <c r="PWL6"/>
      <c r="PWN6"/>
      <c r="PWP6"/>
      <c r="PWR6"/>
      <c r="PWT6"/>
      <c r="PWV6"/>
      <c r="PWX6"/>
      <c r="PWZ6"/>
      <c r="PXB6"/>
      <c r="PXD6"/>
      <c r="PXF6"/>
      <c r="PXH6"/>
      <c r="PXJ6"/>
      <c r="PXL6"/>
      <c r="PXN6"/>
      <c r="PXP6"/>
      <c r="PXR6"/>
      <c r="PXT6"/>
      <c r="PXV6"/>
      <c r="PXX6"/>
      <c r="PXZ6"/>
      <c r="PYB6"/>
      <c r="PYD6"/>
      <c r="PYF6"/>
      <c r="PYH6"/>
      <c r="PYJ6"/>
      <c r="PYL6"/>
      <c r="PYN6"/>
      <c r="PYP6"/>
      <c r="PYR6"/>
      <c r="PYT6"/>
      <c r="PYV6"/>
      <c r="PYX6"/>
      <c r="PYZ6"/>
      <c r="PZB6"/>
      <c r="PZD6"/>
      <c r="PZF6"/>
      <c r="PZH6"/>
      <c r="PZJ6"/>
      <c r="PZL6"/>
      <c r="PZN6"/>
      <c r="PZP6"/>
      <c r="PZR6"/>
      <c r="PZT6"/>
      <c r="PZV6"/>
      <c r="PZX6"/>
      <c r="PZZ6"/>
      <c r="QAB6"/>
      <c r="QAD6"/>
      <c r="QAF6"/>
      <c r="QAH6"/>
      <c r="QAJ6"/>
      <c r="QAL6"/>
      <c r="QAN6"/>
      <c r="QAP6"/>
      <c r="QAR6"/>
      <c r="QAT6"/>
      <c r="QAV6"/>
      <c r="QAX6"/>
      <c r="QAZ6"/>
      <c r="QBB6"/>
      <c r="QBD6"/>
      <c r="QBF6"/>
      <c r="QBH6"/>
      <c r="QBJ6"/>
      <c r="QBL6"/>
      <c r="QBN6"/>
      <c r="QBP6"/>
      <c r="QBR6"/>
      <c r="QBT6"/>
      <c r="QBV6"/>
      <c r="QBX6"/>
      <c r="QBZ6"/>
      <c r="QCB6"/>
      <c r="QCD6"/>
      <c r="QCF6"/>
      <c r="QCH6"/>
      <c r="QCJ6"/>
      <c r="QCL6"/>
      <c r="QCN6"/>
      <c r="QCP6"/>
      <c r="QCR6"/>
      <c r="QCT6"/>
      <c r="QCV6"/>
      <c r="QCX6"/>
      <c r="QCZ6"/>
      <c r="QDB6"/>
      <c r="QDD6"/>
      <c r="QDF6"/>
      <c r="QDH6"/>
      <c r="QDJ6"/>
      <c r="QDL6"/>
      <c r="QDN6"/>
      <c r="QDP6"/>
      <c r="QDR6"/>
      <c r="QDT6"/>
      <c r="QDV6"/>
      <c r="QDX6"/>
      <c r="QDZ6"/>
      <c r="QEB6"/>
      <c r="QED6"/>
      <c r="QEF6"/>
      <c r="QEH6"/>
      <c r="QEJ6"/>
      <c r="QEL6"/>
      <c r="QEN6"/>
      <c r="QEP6"/>
      <c r="QER6"/>
      <c r="QET6"/>
      <c r="QEV6"/>
      <c r="QEX6"/>
      <c r="QEZ6"/>
      <c r="QFB6"/>
      <c r="QFD6"/>
      <c r="QFF6"/>
      <c r="QFH6"/>
      <c r="QFJ6"/>
      <c r="QFL6"/>
      <c r="QFN6"/>
      <c r="QFP6"/>
      <c r="QFR6"/>
      <c r="QFT6"/>
      <c r="QFV6"/>
      <c r="QFX6"/>
      <c r="QFZ6"/>
      <c r="QGB6"/>
      <c r="QGD6"/>
      <c r="QGF6"/>
      <c r="QGH6"/>
      <c r="QGJ6"/>
      <c r="QGL6"/>
      <c r="QGN6"/>
      <c r="QGP6"/>
      <c r="QGR6"/>
      <c r="QGT6"/>
      <c r="QGV6"/>
      <c r="QGX6"/>
      <c r="QGZ6"/>
      <c r="QHB6"/>
      <c r="QHD6"/>
      <c r="QHF6"/>
      <c r="QHH6"/>
      <c r="QHJ6"/>
      <c r="QHL6"/>
      <c r="QHN6"/>
      <c r="QHP6"/>
      <c r="QHR6"/>
      <c r="QHT6"/>
      <c r="QHV6"/>
      <c r="QHX6"/>
      <c r="QHZ6"/>
      <c r="QIB6"/>
      <c r="QID6"/>
      <c r="QIF6"/>
      <c r="QIH6"/>
      <c r="QIJ6"/>
      <c r="QIL6"/>
      <c r="QIN6"/>
      <c r="QIP6"/>
      <c r="QIR6"/>
      <c r="QIT6"/>
      <c r="QIV6"/>
      <c r="QIX6"/>
      <c r="QIZ6"/>
      <c r="QJB6"/>
      <c r="QJD6"/>
      <c r="QJF6"/>
      <c r="QJH6"/>
      <c r="QJJ6"/>
      <c r="QJL6"/>
      <c r="QJN6"/>
      <c r="QJP6"/>
      <c r="QJR6"/>
      <c r="QJT6"/>
      <c r="QJV6"/>
      <c r="QJX6"/>
      <c r="QJZ6"/>
      <c r="QKB6"/>
      <c r="QKD6"/>
      <c r="QKF6"/>
      <c r="QKH6"/>
      <c r="QKJ6"/>
      <c r="QKL6"/>
      <c r="QKN6"/>
      <c r="QKP6"/>
      <c r="QKR6"/>
      <c r="QKT6"/>
      <c r="QKV6"/>
      <c r="QKX6"/>
      <c r="QKZ6"/>
      <c r="QLB6"/>
      <c r="QLD6"/>
      <c r="QLF6"/>
      <c r="QLH6"/>
      <c r="QLJ6"/>
      <c r="QLL6"/>
      <c r="QLN6"/>
      <c r="QLP6"/>
      <c r="QLR6"/>
      <c r="QLT6"/>
      <c r="QLV6"/>
      <c r="QLX6"/>
      <c r="QLZ6"/>
      <c r="QMB6"/>
      <c r="QMD6"/>
      <c r="QMF6"/>
      <c r="QMH6"/>
      <c r="QMJ6"/>
      <c r="QML6"/>
      <c r="QMN6"/>
      <c r="QMP6"/>
      <c r="QMR6"/>
      <c r="QMT6"/>
      <c r="QMV6"/>
      <c r="QMX6"/>
      <c r="QMZ6"/>
      <c r="QNB6"/>
      <c r="QND6"/>
      <c r="QNF6"/>
      <c r="QNH6"/>
      <c r="QNJ6"/>
      <c r="QNL6"/>
      <c r="QNN6"/>
      <c r="QNP6"/>
      <c r="QNR6"/>
      <c r="QNT6"/>
      <c r="QNV6"/>
      <c r="QNX6"/>
      <c r="QNZ6"/>
      <c r="QOB6"/>
      <c r="QOD6"/>
      <c r="QOF6"/>
      <c r="QOH6"/>
      <c r="QOJ6"/>
      <c r="QOL6"/>
      <c r="QON6"/>
      <c r="QOP6"/>
      <c r="QOR6"/>
      <c r="QOT6"/>
      <c r="QOV6"/>
      <c r="QOX6"/>
      <c r="QOZ6"/>
      <c r="QPB6"/>
      <c r="QPD6"/>
      <c r="QPF6"/>
      <c r="QPH6"/>
      <c r="QPJ6"/>
      <c r="QPL6"/>
      <c r="QPN6"/>
      <c r="QPP6"/>
      <c r="QPR6"/>
      <c r="QPT6"/>
      <c r="QPV6"/>
      <c r="QPX6"/>
      <c r="QPZ6"/>
      <c r="QQB6"/>
      <c r="QQD6"/>
      <c r="QQF6"/>
      <c r="QQH6"/>
      <c r="QQJ6"/>
      <c r="QQL6"/>
      <c r="QQN6"/>
      <c r="QQP6"/>
      <c r="QQR6"/>
      <c r="QQT6"/>
      <c r="QQV6"/>
      <c r="QQX6"/>
      <c r="QQZ6"/>
      <c r="QRB6"/>
      <c r="QRD6"/>
      <c r="QRF6"/>
      <c r="QRH6"/>
      <c r="QRJ6"/>
      <c r="QRL6"/>
      <c r="QRN6"/>
      <c r="QRP6"/>
      <c r="QRR6"/>
      <c r="QRT6"/>
      <c r="QRV6"/>
      <c r="QRX6"/>
      <c r="QRZ6"/>
      <c r="QSB6"/>
      <c r="QSD6"/>
      <c r="QSF6"/>
      <c r="QSH6"/>
      <c r="QSJ6"/>
      <c r="QSL6"/>
      <c r="QSN6"/>
      <c r="QSP6"/>
      <c r="QSR6"/>
      <c r="QST6"/>
      <c r="QSV6"/>
      <c r="QSX6"/>
      <c r="QSZ6"/>
      <c r="QTB6"/>
      <c r="QTD6"/>
      <c r="QTF6"/>
      <c r="QTH6"/>
      <c r="QTJ6"/>
      <c r="QTL6"/>
      <c r="QTN6"/>
      <c r="QTP6"/>
      <c r="QTR6"/>
      <c r="QTT6"/>
      <c r="QTV6"/>
      <c r="QTX6"/>
      <c r="QTZ6"/>
      <c r="QUB6"/>
      <c r="QUD6"/>
      <c r="QUF6"/>
      <c r="QUH6"/>
      <c r="QUJ6"/>
      <c r="QUL6"/>
      <c r="QUN6"/>
      <c r="QUP6"/>
      <c r="QUR6"/>
      <c r="QUT6"/>
      <c r="QUV6"/>
      <c r="QUX6"/>
      <c r="QUZ6"/>
      <c r="QVB6"/>
      <c r="QVD6"/>
      <c r="QVF6"/>
      <c r="QVH6"/>
      <c r="QVJ6"/>
      <c r="QVL6"/>
      <c r="QVN6"/>
      <c r="QVP6"/>
      <c r="QVR6"/>
      <c r="QVT6"/>
      <c r="QVV6"/>
      <c r="QVX6"/>
      <c r="QVZ6"/>
      <c r="QWB6"/>
      <c r="QWD6"/>
      <c r="QWF6"/>
      <c r="QWH6"/>
      <c r="QWJ6"/>
      <c r="QWL6"/>
      <c r="QWN6"/>
      <c r="QWP6"/>
      <c r="QWR6"/>
      <c r="QWT6"/>
      <c r="QWV6"/>
      <c r="QWX6"/>
      <c r="QWZ6"/>
      <c r="QXB6"/>
      <c r="QXD6"/>
      <c r="QXF6"/>
      <c r="QXH6"/>
      <c r="QXJ6"/>
      <c r="QXL6"/>
      <c r="QXN6"/>
      <c r="QXP6"/>
      <c r="QXR6"/>
      <c r="QXT6"/>
      <c r="QXV6"/>
      <c r="QXX6"/>
      <c r="QXZ6"/>
      <c r="QYB6"/>
      <c r="QYD6"/>
      <c r="QYF6"/>
      <c r="QYH6"/>
      <c r="QYJ6"/>
      <c r="QYL6"/>
      <c r="QYN6"/>
      <c r="QYP6"/>
      <c r="QYR6"/>
      <c r="QYT6"/>
      <c r="QYV6"/>
      <c r="QYX6"/>
      <c r="QYZ6"/>
      <c r="QZB6"/>
      <c r="QZD6"/>
      <c r="QZF6"/>
      <c r="QZH6"/>
      <c r="QZJ6"/>
      <c r="QZL6"/>
      <c r="QZN6"/>
      <c r="QZP6"/>
      <c r="QZR6"/>
      <c r="QZT6"/>
      <c r="QZV6"/>
      <c r="QZX6"/>
      <c r="QZZ6"/>
      <c r="RAB6"/>
      <c r="RAD6"/>
      <c r="RAF6"/>
      <c r="RAH6"/>
      <c r="RAJ6"/>
      <c r="RAL6"/>
      <c r="RAN6"/>
      <c r="RAP6"/>
      <c r="RAR6"/>
      <c r="RAT6"/>
      <c r="RAV6"/>
      <c r="RAX6"/>
      <c r="RAZ6"/>
      <c r="RBB6"/>
      <c r="RBD6"/>
      <c r="RBF6"/>
      <c r="RBH6"/>
      <c r="RBJ6"/>
      <c r="RBL6"/>
      <c r="RBN6"/>
      <c r="RBP6"/>
      <c r="RBR6"/>
      <c r="RBT6"/>
      <c r="RBV6"/>
      <c r="RBX6"/>
      <c r="RBZ6"/>
      <c r="RCB6"/>
      <c r="RCD6"/>
      <c r="RCF6"/>
      <c r="RCH6"/>
      <c r="RCJ6"/>
      <c r="RCL6"/>
      <c r="RCN6"/>
      <c r="RCP6"/>
      <c r="RCR6"/>
      <c r="RCT6"/>
      <c r="RCV6"/>
      <c r="RCX6"/>
      <c r="RCZ6"/>
      <c r="RDB6"/>
      <c r="RDD6"/>
      <c r="RDF6"/>
      <c r="RDH6"/>
      <c r="RDJ6"/>
      <c r="RDL6"/>
      <c r="RDN6"/>
      <c r="RDP6"/>
      <c r="RDR6"/>
      <c r="RDT6"/>
      <c r="RDV6"/>
      <c r="RDX6"/>
      <c r="RDZ6"/>
      <c r="REB6"/>
      <c r="RED6"/>
      <c r="REF6"/>
      <c r="REH6"/>
      <c r="REJ6"/>
      <c r="REL6"/>
      <c r="REN6"/>
      <c r="REP6"/>
      <c r="RER6"/>
      <c r="RET6"/>
      <c r="REV6"/>
      <c r="REX6"/>
      <c r="REZ6"/>
      <c r="RFB6"/>
      <c r="RFD6"/>
      <c r="RFF6"/>
      <c r="RFH6"/>
      <c r="RFJ6"/>
      <c r="RFL6"/>
      <c r="RFN6"/>
      <c r="RFP6"/>
      <c r="RFR6"/>
      <c r="RFT6"/>
      <c r="RFV6"/>
      <c r="RFX6"/>
      <c r="RFZ6"/>
      <c r="RGB6"/>
      <c r="RGD6"/>
      <c r="RGF6"/>
      <c r="RGH6"/>
      <c r="RGJ6"/>
      <c r="RGL6"/>
      <c r="RGN6"/>
      <c r="RGP6"/>
      <c r="RGR6"/>
      <c r="RGT6"/>
      <c r="RGV6"/>
      <c r="RGX6"/>
      <c r="RGZ6"/>
      <c r="RHB6"/>
      <c r="RHD6"/>
      <c r="RHF6"/>
      <c r="RHH6"/>
      <c r="RHJ6"/>
      <c r="RHL6"/>
      <c r="RHN6"/>
      <c r="RHP6"/>
      <c r="RHR6"/>
      <c r="RHT6"/>
      <c r="RHV6"/>
      <c r="RHX6"/>
      <c r="RHZ6"/>
      <c r="RIB6"/>
      <c r="RID6"/>
      <c r="RIF6"/>
      <c r="RIH6"/>
      <c r="RIJ6"/>
      <c r="RIL6"/>
      <c r="RIN6"/>
      <c r="RIP6"/>
      <c r="RIR6"/>
      <c r="RIT6"/>
      <c r="RIV6"/>
      <c r="RIX6"/>
      <c r="RIZ6"/>
      <c r="RJB6"/>
      <c r="RJD6"/>
      <c r="RJF6"/>
      <c r="RJH6"/>
      <c r="RJJ6"/>
      <c r="RJL6"/>
      <c r="RJN6"/>
      <c r="RJP6"/>
      <c r="RJR6"/>
      <c r="RJT6"/>
      <c r="RJV6"/>
      <c r="RJX6"/>
      <c r="RJZ6"/>
      <c r="RKB6"/>
      <c r="RKD6"/>
      <c r="RKF6"/>
      <c r="RKH6"/>
      <c r="RKJ6"/>
      <c r="RKL6"/>
      <c r="RKN6"/>
      <c r="RKP6"/>
      <c r="RKR6"/>
      <c r="RKT6"/>
      <c r="RKV6"/>
      <c r="RKX6"/>
      <c r="RKZ6"/>
      <c r="RLB6"/>
      <c r="RLD6"/>
      <c r="RLF6"/>
      <c r="RLH6"/>
      <c r="RLJ6"/>
      <c r="RLL6"/>
      <c r="RLN6"/>
      <c r="RLP6"/>
      <c r="RLR6"/>
      <c r="RLT6"/>
      <c r="RLV6"/>
      <c r="RLX6"/>
      <c r="RLZ6"/>
      <c r="RMB6"/>
      <c r="RMD6"/>
      <c r="RMF6"/>
      <c r="RMH6"/>
      <c r="RMJ6"/>
      <c r="RML6"/>
      <c r="RMN6"/>
      <c r="RMP6"/>
      <c r="RMR6"/>
      <c r="RMT6"/>
      <c r="RMV6"/>
      <c r="RMX6"/>
      <c r="RMZ6"/>
      <c r="RNB6"/>
      <c r="RND6"/>
      <c r="RNF6"/>
      <c r="RNH6"/>
      <c r="RNJ6"/>
      <c r="RNL6"/>
      <c r="RNN6"/>
      <c r="RNP6"/>
      <c r="RNR6"/>
      <c r="RNT6"/>
      <c r="RNV6"/>
      <c r="RNX6"/>
      <c r="RNZ6"/>
      <c r="ROB6"/>
      <c r="ROD6"/>
      <c r="ROF6"/>
      <c r="ROH6"/>
      <c r="ROJ6"/>
      <c r="ROL6"/>
      <c r="RON6"/>
      <c r="ROP6"/>
      <c r="ROR6"/>
      <c r="ROT6"/>
      <c r="ROV6"/>
      <c r="ROX6"/>
      <c r="ROZ6"/>
      <c r="RPB6"/>
      <c r="RPD6"/>
      <c r="RPF6"/>
      <c r="RPH6"/>
      <c r="RPJ6"/>
      <c r="RPL6"/>
      <c r="RPN6"/>
      <c r="RPP6"/>
      <c r="RPR6"/>
      <c r="RPT6"/>
      <c r="RPV6"/>
      <c r="RPX6"/>
      <c r="RPZ6"/>
      <c r="RQB6"/>
      <c r="RQD6"/>
      <c r="RQF6"/>
      <c r="RQH6"/>
      <c r="RQJ6"/>
      <c r="RQL6"/>
      <c r="RQN6"/>
      <c r="RQP6"/>
      <c r="RQR6"/>
      <c r="RQT6"/>
      <c r="RQV6"/>
      <c r="RQX6"/>
      <c r="RQZ6"/>
      <c r="RRB6"/>
      <c r="RRD6"/>
      <c r="RRF6"/>
      <c r="RRH6"/>
      <c r="RRJ6"/>
      <c r="RRL6"/>
      <c r="RRN6"/>
      <c r="RRP6"/>
      <c r="RRR6"/>
      <c r="RRT6"/>
      <c r="RRV6"/>
      <c r="RRX6"/>
      <c r="RRZ6"/>
      <c r="RSB6"/>
      <c r="RSD6"/>
      <c r="RSF6"/>
      <c r="RSH6"/>
      <c r="RSJ6"/>
      <c r="RSL6"/>
      <c r="RSN6"/>
      <c r="RSP6"/>
      <c r="RSR6"/>
      <c r="RST6"/>
      <c r="RSV6"/>
      <c r="RSX6"/>
      <c r="RSZ6"/>
      <c r="RTB6"/>
      <c r="RTD6"/>
      <c r="RTF6"/>
      <c r="RTH6"/>
      <c r="RTJ6"/>
      <c r="RTL6"/>
      <c r="RTN6"/>
      <c r="RTP6"/>
      <c r="RTR6"/>
      <c r="RTT6"/>
      <c r="RTV6"/>
      <c r="RTX6"/>
      <c r="RTZ6"/>
      <c r="RUB6"/>
      <c r="RUD6"/>
      <c r="RUF6"/>
      <c r="RUH6"/>
      <c r="RUJ6"/>
      <c r="RUL6"/>
      <c r="RUN6"/>
      <c r="RUP6"/>
      <c r="RUR6"/>
      <c r="RUT6"/>
      <c r="RUV6"/>
      <c r="RUX6"/>
      <c r="RUZ6"/>
      <c r="RVB6"/>
      <c r="RVD6"/>
      <c r="RVF6"/>
      <c r="RVH6"/>
      <c r="RVJ6"/>
      <c r="RVL6"/>
      <c r="RVN6"/>
      <c r="RVP6"/>
      <c r="RVR6"/>
      <c r="RVT6"/>
      <c r="RVV6"/>
      <c r="RVX6"/>
      <c r="RVZ6"/>
      <c r="RWB6"/>
      <c r="RWD6"/>
      <c r="RWF6"/>
      <c r="RWH6"/>
      <c r="RWJ6"/>
      <c r="RWL6"/>
      <c r="RWN6"/>
      <c r="RWP6"/>
      <c r="RWR6"/>
      <c r="RWT6"/>
      <c r="RWV6"/>
      <c r="RWX6"/>
      <c r="RWZ6"/>
      <c r="RXB6"/>
      <c r="RXD6"/>
      <c r="RXF6"/>
      <c r="RXH6"/>
      <c r="RXJ6"/>
      <c r="RXL6"/>
      <c r="RXN6"/>
      <c r="RXP6"/>
      <c r="RXR6"/>
      <c r="RXT6"/>
      <c r="RXV6"/>
      <c r="RXX6"/>
      <c r="RXZ6"/>
      <c r="RYB6"/>
      <c r="RYD6"/>
      <c r="RYF6"/>
      <c r="RYH6"/>
      <c r="RYJ6"/>
      <c r="RYL6"/>
      <c r="RYN6"/>
      <c r="RYP6"/>
      <c r="RYR6"/>
      <c r="RYT6"/>
      <c r="RYV6"/>
      <c r="RYX6"/>
      <c r="RYZ6"/>
      <c r="RZB6"/>
      <c r="RZD6"/>
      <c r="RZF6"/>
      <c r="RZH6"/>
      <c r="RZJ6"/>
      <c r="RZL6"/>
      <c r="RZN6"/>
      <c r="RZP6"/>
      <c r="RZR6"/>
      <c r="RZT6"/>
      <c r="RZV6"/>
      <c r="RZX6"/>
      <c r="RZZ6"/>
      <c r="SAB6"/>
      <c r="SAD6"/>
      <c r="SAF6"/>
      <c r="SAH6"/>
      <c r="SAJ6"/>
      <c r="SAL6"/>
      <c r="SAN6"/>
      <c r="SAP6"/>
      <c r="SAR6"/>
      <c r="SAT6"/>
      <c r="SAV6"/>
      <c r="SAX6"/>
      <c r="SAZ6"/>
      <c r="SBB6"/>
      <c r="SBD6"/>
      <c r="SBF6"/>
      <c r="SBH6"/>
      <c r="SBJ6"/>
      <c r="SBL6"/>
      <c r="SBN6"/>
      <c r="SBP6"/>
      <c r="SBR6"/>
      <c r="SBT6"/>
      <c r="SBV6"/>
      <c r="SBX6"/>
      <c r="SBZ6"/>
      <c r="SCB6"/>
      <c r="SCD6"/>
      <c r="SCF6"/>
      <c r="SCH6"/>
      <c r="SCJ6"/>
      <c r="SCL6"/>
      <c r="SCN6"/>
      <c r="SCP6"/>
      <c r="SCR6"/>
      <c r="SCT6"/>
      <c r="SCV6"/>
      <c r="SCX6"/>
      <c r="SCZ6"/>
      <c r="SDB6"/>
      <c r="SDD6"/>
      <c r="SDF6"/>
      <c r="SDH6"/>
      <c r="SDJ6"/>
      <c r="SDL6"/>
      <c r="SDN6"/>
      <c r="SDP6"/>
      <c r="SDR6"/>
      <c r="SDT6"/>
      <c r="SDV6"/>
      <c r="SDX6"/>
      <c r="SDZ6"/>
      <c r="SEB6"/>
      <c r="SED6"/>
      <c r="SEF6"/>
      <c r="SEH6"/>
      <c r="SEJ6"/>
      <c r="SEL6"/>
      <c r="SEN6"/>
      <c r="SEP6"/>
      <c r="SER6"/>
      <c r="SET6"/>
      <c r="SEV6"/>
      <c r="SEX6"/>
      <c r="SEZ6"/>
      <c r="SFB6"/>
      <c r="SFD6"/>
      <c r="SFF6"/>
      <c r="SFH6"/>
      <c r="SFJ6"/>
      <c r="SFL6"/>
      <c r="SFN6"/>
      <c r="SFP6"/>
      <c r="SFR6"/>
      <c r="SFT6"/>
      <c r="SFV6"/>
      <c r="SFX6"/>
      <c r="SFZ6"/>
      <c r="SGB6"/>
      <c r="SGD6"/>
      <c r="SGF6"/>
      <c r="SGH6"/>
      <c r="SGJ6"/>
      <c r="SGL6"/>
      <c r="SGN6"/>
      <c r="SGP6"/>
      <c r="SGR6"/>
      <c r="SGT6"/>
      <c r="SGV6"/>
      <c r="SGX6"/>
      <c r="SGZ6"/>
      <c r="SHB6"/>
      <c r="SHD6"/>
      <c r="SHF6"/>
      <c r="SHH6"/>
      <c r="SHJ6"/>
      <c r="SHL6"/>
      <c r="SHN6"/>
      <c r="SHP6"/>
      <c r="SHR6"/>
      <c r="SHT6"/>
      <c r="SHV6"/>
      <c r="SHX6"/>
      <c r="SHZ6"/>
      <c r="SIB6"/>
      <c r="SID6"/>
      <c r="SIF6"/>
      <c r="SIH6"/>
      <c r="SIJ6"/>
      <c r="SIL6"/>
      <c r="SIN6"/>
      <c r="SIP6"/>
      <c r="SIR6"/>
      <c r="SIT6"/>
      <c r="SIV6"/>
      <c r="SIX6"/>
      <c r="SIZ6"/>
      <c r="SJB6"/>
      <c r="SJD6"/>
      <c r="SJF6"/>
      <c r="SJH6"/>
      <c r="SJJ6"/>
      <c r="SJL6"/>
      <c r="SJN6"/>
      <c r="SJP6"/>
      <c r="SJR6"/>
      <c r="SJT6"/>
      <c r="SJV6"/>
      <c r="SJX6"/>
      <c r="SJZ6"/>
      <c r="SKB6"/>
      <c r="SKD6"/>
      <c r="SKF6"/>
      <c r="SKH6"/>
      <c r="SKJ6"/>
      <c r="SKL6"/>
      <c r="SKN6"/>
      <c r="SKP6"/>
      <c r="SKR6"/>
      <c r="SKT6"/>
      <c r="SKV6"/>
      <c r="SKX6"/>
      <c r="SKZ6"/>
      <c r="SLB6"/>
      <c r="SLD6"/>
      <c r="SLF6"/>
      <c r="SLH6"/>
      <c r="SLJ6"/>
      <c r="SLL6"/>
      <c r="SLN6"/>
      <c r="SLP6"/>
      <c r="SLR6"/>
      <c r="SLT6"/>
      <c r="SLV6"/>
      <c r="SLX6"/>
      <c r="SLZ6"/>
      <c r="SMB6"/>
      <c r="SMD6"/>
      <c r="SMF6"/>
      <c r="SMH6"/>
      <c r="SMJ6"/>
      <c r="SML6"/>
      <c r="SMN6"/>
      <c r="SMP6"/>
      <c r="SMR6"/>
      <c r="SMT6"/>
      <c r="SMV6"/>
      <c r="SMX6"/>
      <c r="SMZ6"/>
      <c r="SNB6"/>
      <c r="SND6"/>
      <c r="SNF6"/>
      <c r="SNH6"/>
      <c r="SNJ6"/>
      <c r="SNL6"/>
      <c r="SNN6"/>
      <c r="SNP6"/>
      <c r="SNR6"/>
      <c r="SNT6"/>
      <c r="SNV6"/>
      <c r="SNX6"/>
      <c r="SNZ6"/>
      <c r="SOB6"/>
      <c r="SOD6"/>
      <c r="SOF6"/>
      <c r="SOH6"/>
      <c r="SOJ6"/>
      <c r="SOL6"/>
      <c r="SON6"/>
      <c r="SOP6"/>
      <c r="SOR6"/>
      <c r="SOT6"/>
      <c r="SOV6"/>
      <c r="SOX6"/>
      <c r="SOZ6"/>
      <c r="SPB6"/>
      <c r="SPD6"/>
      <c r="SPF6"/>
      <c r="SPH6"/>
      <c r="SPJ6"/>
      <c r="SPL6"/>
      <c r="SPN6"/>
      <c r="SPP6"/>
      <c r="SPR6"/>
      <c r="SPT6"/>
      <c r="SPV6"/>
      <c r="SPX6"/>
      <c r="SPZ6"/>
      <c r="SQB6"/>
      <c r="SQD6"/>
      <c r="SQF6"/>
      <c r="SQH6"/>
      <c r="SQJ6"/>
      <c r="SQL6"/>
      <c r="SQN6"/>
      <c r="SQP6"/>
      <c r="SQR6"/>
      <c r="SQT6"/>
      <c r="SQV6"/>
      <c r="SQX6"/>
      <c r="SQZ6"/>
      <c r="SRB6"/>
      <c r="SRD6"/>
      <c r="SRF6"/>
      <c r="SRH6"/>
      <c r="SRJ6"/>
      <c r="SRL6"/>
      <c r="SRN6"/>
      <c r="SRP6"/>
      <c r="SRR6"/>
      <c r="SRT6"/>
      <c r="SRV6"/>
      <c r="SRX6"/>
      <c r="SRZ6"/>
      <c r="SSB6"/>
      <c r="SSD6"/>
      <c r="SSF6"/>
      <c r="SSH6"/>
      <c r="SSJ6"/>
      <c r="SSL6"/>
      <c r="SSN6"/>
      <c r="SSP6"/>
      <c r="SSR6"/>
      <c r="SST6"/>
      <c r="SSV6"/>
      <c r="SSX6"/>
      <c r="SSZ6"/>
      <c r="STB6"/>
      <c r="STD6"/>
      <c r="STF6"/>
      <c r="STH6"/>
      <c r="STJ6"/>
      <c r="STL6"/>
      <c r="STN6"/>
      <c r="STP6"/>
      <c r="STR6"/>
      <c r="STT6"/>
      <c r="STV6"/>
      <c r="STX6"/>
      <c r="STZ6"/>
      <c r="SUB6"/>
      <c r="SUD6"/>
      <c r="SUF6"/>
      <c r="SUH6"/>
      <c r="SUJ6"/>
      <c r="SUL6"/>
      <c r="SUN6"/>
      <c r="SUP6"/>
      <c r="SUR6"/>
      <c r="SUT6"/>
      <c r="SUV6"/>
      <c r="SUX6"/>
      <c r="SUZ6"/>
      <c r="SVB6"/>
      <c r="SVD6"/>
      <c r="SVF6"/>
      <c r="SVH6"/>
      <c r="SVJ6"/>
      <c r="SVL6"/>
      <c r="SVN6"/>
      <c r="SVP6"/>
      <c r="SVR6"/>
      <c r="SVT6"/>
      <c r="SVV6"/>
      <c r="SVX6"/>
      <c r="SVZ6"/>
      <c r="SWB6"/>
      <c r="SWD6"/>
      <c r="SWF6"/>
      <c r="SWH6"/>
      <c r="SWJ6"/>
      <c r="SWL6"/>
      <c r="SWN6"/>
      <c r="SWP6"/>
      <c r="SWR6"/>
      <c r="SWT6"/>
      <c r="SWV6"/>
      <c r="SWX6"/>
      <c r="SWZ6"/>
      <c r="SXB6"/>
      <c r="SXD6"/>
      <c r="SXF6"/>
      <c r="SXH6"/>
      <c r="SXJ6"/>
      <c r="SXL6"/>
      <c r="SXN6"/>
      <c r="SXP6"/>
      <c r="SXR6"/>
      <c r="SXT6"/>
      <c r="SXV6"/>
      <c r="SXX6"/>
      <c r="SXZ6"/>
      <c r="SYB6"/>
      <c r="SYD6"/>
      <c r="SYF6"/>
      <c r="SYH6"/>
      <c r="SYJ6"/>
      <c r="SYL6"/>
      <c r="SYN6"/>
      <c r="SYP6"/>
      <c r="SYR6"/>
      <c r="SYT6"/>
      <c r="SYV6"/>
      <c r="SYX6"/>
      <c r="SYZ6"/>
      <c r="SZB6"/>
      <c r="SZD6"/>
      <c r="SZF6"/>
      <c r="SZH6"/>
      <c r="SZJ6"/>
      <c r="SZL6"/>
      <c r="SZN6"/>
      <c r="SZP6"/>
      <c r="SZR6"/>
      <c r="SZT6"/>
      <c r="SZV6"/>
      <c r="SZX6"/>
      <c r="SZZ6"/>
      <c r="TAB6"/>
      <c r="TAD6"/>
      <c r="TAF6"/>
      <c r="TAH6"/>
      <c r="TAJ6"/>
      <c r="TAL6"/>
      <c r="TAN6"/>
      <c r="TAP6"/>
      <c r="TAR6"/>
      <c r="TAT6"/>
      <c r="TAV6"/>
      <c r="TAX6"/>
      <c r="TAZ6"/>
      <c r="TBB6"/>
      <c r="TBD6"/>
      <c r="TBF6"/>
      <c r="TBH6"/>
      <c r="TBJ6"/>
      <c r="TBL6"/>
      <c r="TBN6"/>
      <c r="TBP6"/>
      <c r="TBR6"/>
      <c r="TBT6"/>
      <c r="TBV6"/>
      <c r="TBX6"/>
      <c r="TBZ6"/>
      <c r="TCB6"/>
      <c r="TCD6"/>
      <c r="TCF6"/>
      <c r="TCH6"/>
      <c r="TCJ6"/>
      <c r="TCL6"/>
      <c r="TCN6"/>
      <c r="TCP6"/>
      <c r="TCR6"/>
      <c r="TCT6"/>
      <c r="TCV6"/>
      <c r="TCX6"/>
      <c r="TCZ6"/>
      <c r="TDB6"/>
      <c r="TDD6"/>
      <c r="TDF6"/>
      <c r="TDH6"/>
      <c r="TDJ6"/>
      <c r="TDL6"/>
      <c r="TDN6"/>
      <c r="TDP6"/>
      <c r="TDR6"/>
      <c r="TDT6"/>
      <c r="TDV6"/>
      <c r="TDX6"/>
      <c r="TDZ6"/>
      <c r="TEB6"/>
      <c r="TED6"/>
      <c r="TEF6"/>
      <c r="TEH6"/>
      <c r="TEJ6"/>
      <c r="TEL6"/>
      <c r="TEN6"/>
      <c r="TEP6"/>
      <c r="TER6"/>
      <c r="TET6"/>
      <c r="TEV6"/>
      <c r="TEX6"/>
      <c r="TEZ6"/>
      <c r="TFB6"/>
      <c r="TFD6"/>
      <c r="TFF6"/>
      <c r="TFH6"/>
      <c r="TFJ6"/>
      <c r="TFL6"/>
      <c r="TFN6"/>
      <c r="TFP6"/>
      <c r="TFR6"/>
      <c r="TFT6"/>
      <c r="TFV6"/>
      <c r="TFX6"/>
      <c r="TFZ6"/>
      <c r="TGB6"/>
      <c r="TGD6"/>
      <c r="TGF6"/>
      <c r="TGH6"/>
      <c r="TGJ6"/>
      <c r="TGL6"/>
      <c r="TGN6"/>
      <c r="TGP6"/>
      <c r="TGR6"/>
      <c r="TGT6"/>
      <c r="TGV6"/>
      <c r="TGX6"/>
      <c r="TGZ6"/>
      <c r="THB6"/>
      <c r="THD6"/>
      <c r="THF6"/>
      <c r="THH6"/>
      <c r="THJ6"/>
      <c r="THL6"/>
      <c r="THN6"/>
      <c r="THP6"/>
      <c r="THR6"/>
      <c r="THT6"/>
      <c r="THV6"/>
      <c r="THX6"/>
      <c r="THZ6"/>
      <c r="TIB6"/>
      <c r="TID6"/>
      <c r="TIF6"/>
      <c r="TIH6"/>
      <c r="TIJ6"/>
      <c r="TIL6"/>
      <c r="TIN6"/>
      <c r="TIP6"/>
      <c r="TIR6"/>
      <c r="TIT6"/>
      <c r="TIV6"/>
      <c r="TIX6"/>
      <c r="TIZ6"/>
      <c r="TJB6"/>
      <c r="TJD6"/>
      <c r="TJF6"/>
      <c r="TJH6"/>
      <c r="TJJ6"/>
      <c r="TJL6"/>
      <c r="TJN6"/>
      <c r="TJP6"/>
      <c r="TJR6"/>
      <c r="TJT6"/>
      <c r="TJV6"/>
      <c r="TJX6"/>
      <c r="TJZ6"/>
      <c r="TKB6"/>
      <c r="TKD6"/>
      <c r="TKF6"/>
      <c r="TKH6"/>
      <c r="TKJ6"/>
      <c r="TKL6"/>
      <c r="TKN6"/>
      <c r="TKP6"/>
      <c r="TKR6"/>
      <c r="TKT6"/>
      <c r="TKV6"/>
      <c r="TKX6"/>
      <c r="TKZ6"/>
      <c r="TLB6"/>
      <c r="TLD6"/>
      <c r="TLF6"/>
      <c r="TLH6"/>
      <c r="TLJ6"/>
      <c r="TLL6"/>
      <c r="TLN6"/>
      <c r="TLP6"/>
      <c r="TLR6"/>
      <c r="TLT6"/>
      <c r="TLV6"/>
      <c r="TLX6"/>
      <c r="TLZ6"/>
      <c r="TMB6"/>
      <c r="TMD6"/>
      <c r="TMF6"/>
      <c r="TMH6"/>
      <c r="TMJ6"/>
      <c r="TML6"/>
      <c r="TMN6"/>
      <c r="TMP6"/>
      <c r="TMR6"/>
      <c r="TMT6"/>
      <c r="TMV6"/>
      <c r="TMX6"/>
      <c r="TMZ6"/>
      <c r="TNB6"/>
      <c r="TND6"/>
      <c r="TNF6"/>
      <c r="TNH6"/>
      <c r="TNJ6"/>
      <c r="TNL6"/>
      <c r="TNN6"/>
      <c r="TNP6"/>
      <c r="TNR6"/>
      <c r="TNT6"/>
      <c r="TNV6"/>
      <c r="TNX6"/>
      <c r="TNZ6"/>
      <c r="TOB6"/>
      <c r="TOD6"/>
      <c r="TOF6"/>
      <c r="TOH6"/>
      <c r="TOJ6"/>
      <c r="TOL6"/>
      <c r="TON6"/>
      <c r="TOP6"/>
      <c r="TOR6"/>
      <c r="TOT6"/>
      <c r="TOV6"/>
      <c r="TOX6"/>
      <c r="TOZ6"/>
      <c r="TPB6"/>
      <c r="TPD6"/>
      <c r="TPF6"/>
      <c r="TPH6"/>
      <c r="TPJ6"/>
      <c r="TPL6"/>
      <c r="TPN6"/>
      <c r="TPP6"/>
      <c r="TPR6"/>
      <c r="TPT6"/>
      <c r="TPV6"/>
      <c r="TPX6"/>
      <c r="TPZ6"/>
      <c r="TQB6"/>
      <c r="TQD6"/>
      <c r="TQF6"/>
      <c r="TQH6"/>
      <c r="TQJ6"/>
      <c r="TQL6"/>
      <c r="TQN6"/>
      <c r="TQP6"/>
      <c r="TQR6"/>
      <c r="TQT6"/>
      <c r="TQV6"/>
      <c r="TQX6"/>
      <c r="TQZ6"/>
      <c r="TRB6"/>
      <c r="TRD6"/>
      <c r="TRF6"/>
      <c r="TRH6"/>
      <c r="TRJ6"/>
      <c r="TRL6"/>
      <c r="TRN6"/>
      <c r="TRP6"/>
      <c r="TRR6"/>
      <c r="TRT6"/>
      <c r="TRV6"/>
      <c r="TRX6"/>
      <c r="TRZ6"/>
      <c r="TSB6"/>
      <c r="TSD6"/>
      <c r="TSF6"/>
      <c r="TSH6"/>
      <c r="TSJ6"/>
      <c r="TSL6"/>
      <c r="TSN6"/>
      <c r="TSP6"/>
      <c r="TSR6"/>
      <c r="TST6"/>
      <c r="TSV6"/>
      <c r="TSX6"/>
      <c r="TSZ6"/>
      <c r="TTB6"/>
      <c r="TTD6"/>
      <c r="TTF6"/>
      <c r="TTH6"/>
      <c r="TTJ6"/>
      <c r="TTL6"/>
      <c r="TTN6"/>
      <c r="TTP6"/>
      <c r="TTR6"/>
      <c r="TTT6"/>
      <c r="TTV6"/>
      <c r="TTX6"/>
      <c r="TTZ6"/>
      <c r="TUB6"/>
      <c r="TUD6"/>
      <c r="TUF6"/>
      <c r="TUH6"/>
      <c r="TUJ6"/>
      <c r="TUL6"/>
      <c r="TUN6"/>
      <c r="TUP6"/>
      <c r="TUR6"/>
      <c r="TUT6"/>
      <c r="TUV6"/>
      <c r="TUX6"/>
      <c r="TUZ6"/>
      <c r="TVB6"/>
      <c r="TVD6"/>
      <c r="TVF6"/>
      <c r="TVH6"/>
      <c r="TVJ6"/>
      <c r="TVL6"/>
      <c r="TVN6"/>
      <c r="TVP6"/>
      <c r="TVR6"/>
      <c r="TVT6"/>
      <c r="TVV6"/>
      <c r="TVX6"/>
      <c r="TVZ6"/>
      <c r="TWB6"/>
      <c r="TWD6"/>
      <c r="TWF6"/>
      <c r="TWH6"/>
      <c r="TWJ6"/>
      <c r="TWL6"/>
      <c r="TWN6"/>
      <c r="TWP6"/>
      <c r="TWR6"/>
      <c r="TWT6"/>
      <c r="TWV6"/>
      <c r="TWX6"/>
      <c r="TWZ6"/>
      <c r="TXB6"/>
      <c r="TXD6"/>
      <c r="TXF6"/>
      <c r="TXH6"/>
      <c r="TXJ6"/>
      <c r="TXL6"/>
      <c r="TXN6"/>
      <c r="TXP6"/>
      <c r="TXR6"/>
      <c r="TXT6"/>
      <c r="TXV6"/>
      <c r="TXX6"/>
      <c r="TXZ6"/>
      <c r="TYB6"/>
      <c r="TYD6"/>
      <c r="TYF6"/>
      <c r="TYH6"/>
      <c r="TYJ6"/>
      <c r="TYL6"/>
      <c r="TYN6"/>
      <c r="TYP6"/>
      <c r="TYR6"/>
      <c r="TYT6"/>
      <c r="TYV6"/>
      <c r="TYX6"/>
      <c r="TYZ6"/>
      <c r="TZB6"/>
      <c r="TZD6"/>
      <c r="TZF6"/>
      <c r="TZH6"/>
      <c r="TZJ6"/>
      <c r="TZL6"/>
      <c r="TZN6"/>
      <c r="TZP6"/>
      <c r="TZR6"/>
      <c r="TZT6"/>
      <c r="TZV6"/>
      <c r="TZX6"/>
      <c r="TZZ6"/>
      <c r="UAB6"/>
      <c r="UAD6"/>
      <c r="UAF6"/>
      <c r="UAH6"/>
      <c r="UAJ6"/>
      <c r="UAL6"/>
      <c r="UAN6"/>
      <c r="UAP6"/>
      <c r="UAR6"/>
      <c r="UAT6"/>
      <c r="UAV6"/>
      <c r="UAX6"/>
      <c r="UAZ6"/>
      <c r="UBB6"/>
      <c r="UBD6"/>
      <c r="UBF6"/>
      <c r="UBH6"/>
      <c r="UBJ6"/>
      <c r="UBL6"/>
      <c r="UBN6"/>
      <c r="UBP6"/>
      <c r="UBR6"/>
      <c r="UBT6"/>
      <c r="UBV6"/>
      <c r="UBX6"/>
      <c r="UBZ6"/>
      <c r="UCB6"/>
      <c r="UCD6"/>
      <c r="UCF6"/>
      <c r="UCH6"/>
      <c r="UCJ6"/>
      <c r="UCL6"/>
      <c r="UCN6"/>
      <c r="UCP6"/>
      <c r="UCR6"/>
      <c r="UCT6"/>
      <c r="UCV6"/>
      <c r="UCX6"/>
      <c r="UCZ6"/>
      <c r="UDB6"/>
      <c r="UDD6"/>
      <c r="UDF6"/>
      <c r="UDH6"/>
      <c r="UDJ6"/>
      <c r="UDL6"/>
      <c r="UDN6"/>
      <c r="UDP6"/>
      <c r="UDR6"/>
      <c r="UDT6"/>
      <c r="UDV6"/>
      <c r="UDX6"/>
      <c r="UDZ6"/>
      <c r="UEB6"/>
      <c r="UED6"/>
      <c r="UEF6"/>
      <c r="UEH6"/>
      <c r="UEJ6"/>
      <c r="UEL6"/>
      <c r="UEN6"/>
      <c r="UEP6"/>
      <c r="UER6"/>
      <c r="UET6"/>
      <c r="UEV6"/>
      <c r="UEX6"/>
      <c r="UEZ6"/>
      <c r="UFB6"/>
      <c r="UFD6"/>
      <c r="UFF6"/>
      <c r="UFH6"/>
      <c r="UFJ6"/>
      <c r="UFL6"/>
      <c r="UFN6"/>
      <c r="UFP6"/>
      <c r="UFR6"/>
      <c r="UFT6"/>
      <c r="UFV6"/>
      <c r="UFX6"/>
      <c r="UFZ6"/>
      <c r="UGB6"/>
      <c r="UGD6"/>
      <c r="UGF6"/>
      <c r="UGH6"/>
      <c r="UGJ6"/>
      <c r="UGL6"/>
      <c r="UGN6"/>
      <c r="UGP6"/>
      <c r="UGR6"/>
      <c r="UGT6"/>
      <c r="UGV6"/>
      <c r="UGX6"/>
      <c r="UGZ6"/>
      <c r="UHB6"/>
      <c r="UHD6"/>
      <c r="UHF6"/>
      <c r="UHH6"/>
      <c r="UHJ6"/>
      <c r="UHL6"/>
      <c r="UHN6"/>
      <c r="UHP6"/>
      <c r="UHR6"/>
      <c r="UHT6"/>
      <c r="UHV6"/>
      <c r="UHX6"/>
      <c r="UHZ6"/>
      <c r="UIB6"/>
      <c r="UID6"/>
      <c r="UIF6"/>
      <c r="UIH6"/>
      <c r="UIJ6"/>
      <c r="UIL6"/>
      <c r="UIN6"/>
      <c r="UIP6"/>
      <c r="UIR6"/>
      <c r="UIT6"/>
      <c r="UIV6"/>
      <c r="UIX6"/>
      <c r="UIZ6"/>
      <c r="UJB6"/>
      <c r="UJD6"/>
      <c r="UJF6"/>
      <c r="UJH6"/>
      <c r="UJJ6"/>
      <c r="UJL6"/>
      <c r="UJN6"/>
      <c r="UJP6"/>
      <c r="UJR6"/>
      <c r="UJT6"/>
      <c r="UJV6"/>
      <c r="UJX6"/>
      <c r="UJZ6"/>
      <c r="UKB6"/>
      <c r="UKD6"/>
      <c r="UKF6"/>
      <c r="UKH6"/>
      <c r="UKJ6"/>
      <c r="UKL6"/>
      <c r="UKN6"/>
      <c r="UKP6"/>
      <c r="UKR6"/>
      <c r="UKT6"/>
      <c r="UKV6"/>
      <c r="UKX6"/>
      <c r="UKZ6"/>
      <c r="ULB6"/>
      <c r="ULD6"/>
      <c r="ULF6"/>
      <c r="ULH6"/>
      <c r="ULJ6"/>
      <c r="ULL6"/>
      <c r="ULN6"/>
      <c r="ULP6"/>
      <c r="ULR6"/>
      <c r="ULT6"/>
      <c r="ULV6"/>
      <c r="ULX6"/>
      <c r="ULZ6"/>
      <c r="UMB6"/>
      <c r="UMD6"/>
      <c r="UMF6"/>
      <c r="UMH6"/>
      <c r="UMJ6"/>
      <c r="UML6"/>
      <c r="UMN6"/>
      <c r="UMP6"/>
      <c r="UMR6"/>
      <c r="UMT6"/>
      <c r="UMV6"/>
      <c r="UMX6"/>
      <c r="UMZ6"/>
      <c r="UNB6"/>
      <c r="UND6"/>
      <c r="UNF6"/>
      <c r="UNH6"/>
      <c r="UNJ6"/>
      <c r="UNL6"/>
      <c r="UNN6"/>
      <c r="UNP6"/>
      <c r="UNR6"/>
      <c r="UNT6"/>
      <c r="UNV6"/>
      <c r="UNX6"/>
      <c r="UNZ6"/>
      <c r="UOB6"/>
      <c r="UOD6"/>
      <c r="UOF6"/>
      <c r="UOH6"/>
      <c r="UOJ6"/>
      <c r="UOL6"/>
      <c r="UON6"/>
      <c r="UOP6"/>
      <c r="UOR6"/>
      <c r="UOT6"/>
      <c r="UOV6"/>
      <c r="UOX6"/>
      <c r="UOZ6"/>
      <c r="UPB6"/>
      <c r="UPD6"/>
      <c r="UPF6"/>
      <c r="UPH6"/>
      <c r="UPJ6"/>
      <c r="UPL6"/>
      <c r="UPN6"/>
      <c r="UPP6"/>
      <c r="UPR6"/>
      <c r="UPT6"/>
      <c r="UPV6"/>
      <c r="UPX6"/>
      <c r="UPZ6"/>
      <c r="UQB6"/>
      <c r="UQD6"/>
      <c r="UQF6"/>
      <c r="UQH6"/>
      <c r="UQJ6"/>
      <c r="UQL6"/>
      <c r="UQN6"/>
      <c r="UQP6"/>
      <c r="UQR6"/>
      <c r="UQT6"/>
      <c r="UQV6"/>
      <c r="UQX6"/>
      <c r="UQZ6"/>
      <c r="URB6"/>
      <c r="URD6"/>
      <c r="URF6"/>
      <c r="URH6"/>
      <c r="URJ6"/>
      <c r="URL6"/>
      <c r="URN6"/>
      <c r="URP6"/>
      <c r="URR6"/>
      <c r="URT6"/>
      <c r="URV6"/>
      <c r="URX6"/>
      <c r="URZ6"/>
      <c r="USB6"/>
      <c r="USD6"/>
      <c r="USF6"/>
      <c r="USH6"/>
      <c r="USJ6"/>
      <c r="USL6"/>
      <c r="USN6"/>
      <c r="USP6"/>
      <c r="USR6"/>
      <c r="UST6"/>
      <c r="USV6"/>
      <c r="USX6"/>
      <c r="USZ6"/>
      <c r="UTB6"/>
      <c r="UTD6"/>
      <c r="UTF6"/>
      <c r="UTH6"/>
      <c r="UTJ6"/>
      <c r="UTL6"/>
      <c r="UTN6"/>
      <c r="UTP6"/>
      <c r="UTR6"/>
      <c r="UTT6"/>
      <c r="UTV6"/>
      <c r="UTX6"/>
      <c r="UTZ6"/>
      <c r="UUB6"/>
      <c r="UUD6"/>
      <c r="UUF6"/>
      <c r="UUH6"/>
      <c r="UUJ6"/>
      <c r="UUL6"/>
      <c r="UUN6"/>
      <c r="UUP6"/>
      <c r="UUR6"/>
      <c r="UUT6"/>
      <c r="UUV6"/>
      <c r="UUX6"/>
      <c r="UUZ6"/>
      <c r="UVB6"/>
      <c r="UVD6"/>
      <c r="UVF6"/>
      <c r="UVH6"/>
      <c r="UVJ6"/>
      <c r="UVL6"/>
      <c r="UVN6"/>
      <c r="UVP6"/>
      <c r="UVR6"/>
      <c r="UVT6"/>
      <c r="UVV6"/>
      <c r="UVX6"/>
      <c r="UVZ6"/>
      <c r="UWB6"/>
      <c r="UWD6"/>
      <c r="UWF6"/>
      <c r="UWH6"/>
      <c r="UWJ6"/>
      <c r="UWL6"/>
      <c r="UWN6"/>
      <c r="UWP6"/>
      <c r="UWR6"/>
      <c r="UWT6"/>
      <c r="UWV6"/>
      <c r="UWX6"/>
      <c r="UWZ6"/>
      <c r="UXB6"/>
      <c r="UXD6"/>
      <c r="UXF6"/>
      <c r="UXH6"/>
      <c r="UXJ6"/>
      <c r="UXL6"/>
      <c r="UXN6"/>
      <c r="UXP6"/>
      <c r="UXR6"/>
      <c r="UXT6"/>
      <c r="UXV6"/>
      <c r="UXX6"/>
      <c r="UXZ6"/>
      <c r="UYB6"/>
      <c r="UYD6"/>
      <c r="UYF6"/>
      <c r="UYH6"/>
      <c r="UYJ6"/>
      <c r="UYL6"/>
      <c r="UYN6"/>
      <c r="UYP6"/>
      <c r="UYR6"/>
      <c r="UYT6"/>
      <c r="UYV6"/>
      <c r="UYX6"/>
      <c r="UYZ6"/>
      <c r="UZB6"/>
      <c r="UZD6"/>
      <c r="UZF6"/>
      <c r="UZH6"/>
      <c r="UZJ6"/>
      <c r="UZL6"/>
      <c r="UZN6"/>
      <c r="UZP6"/>
      <c r="UZR6"/>
      <c r="UZT6"/>
      <c r="UZV6"/>
      <c r="UZX6"/>
      <c r="UZZ6"/>
      <c r="VAB6"/>
      <c r="VAD6"/>
      <c r="VAF6"/>
      <c r="VAH6"/>
      <c r="VAJ6"/>
      <c r="VAL6"/>
      <c r="VAN6"/>
      <c r="VAP6"/>
      <c r="VAR6"/>
      <c r="VAT6"/>
      <c r="VAV6"/>
      <c r="VAX6"/>
      <c r="VAZ6"/>
      <c r="VBB6"/>
      <c r="VBD6"/>
      <c r="VBF6"/>
      <c r="VBH6"/>
      <c r="VBJ6"/>
      <c r="VBL6"/>
      <c r="VBN6"/>
      <c r="VBP6"/>
      <c r="VBR6"/>
      <c r="VBT6"/>
      <c r="VBV6"/>
      <c r="VBX6"/>
      <c r="VBZ6"/>
      <c r="VCB6"/>
      <c r="VCD6"/>
      <c r="VCF6"/>
      <c r="VCH6"/>
      <c r="VCJ6"/>
      <c r="VCL6"/>
      <c r="VCN6"/>
      <c r="VCP6"/>
      <c r="VCR6"/>
      <c r="VCT6"/>
      <c r="VCV6"/>
      <c r="VCX6"/>
      <c r="VCZ6"/>
      <c r="VDB6"/>
      <c r="VDD6"/>
      <c r="VDF6"/>
      <c r="VDH6"/>
      <c r="VDJ6"/>
      <c r="VDL6"/>
      <c r="VDN6"/>
      <c r="VDP6"/>
      <c r="VDR6"/>
      <c r="VDT6"/>
      <c r="VDV6"/>
      <c r="VDX6"/>
      <c r="VDZ6"/>
      <c r="VEB6"/>
      <c r="VED6"/>
      <c r="VEF6"/>
      <c r="VEH6"/>
      <c r="VEJ6"/>
      <c r="VEL6"/>
      <c r="VEN6"/>
      <c r="VEP6"/>
      <c r="VER6"/>
      <c r="VET6"/>
      <c r="VEV6"/>
      <c r="VEX6"/>
      <c r="VEZ6"/>
      <c r="VFB6"/>
      <c r="VFD6"/>
      <c r="VFF6"/>
      <c r="VFH6"/>
      <c r="VFJ6"/>
      <c r="VFL6"/>
      <c r="VFN6"/>
      <c r="VFP6"/>
      <c r="VFR6"/>
      <c r="VFT6"/>
      <c r="VFV6"/>
      <c r="VFX6"/>
      <c r="VFZ6"/>
      <c r="VGB6"/>
      <c r="VGD6"/>
      <c r="VGF6"/>
      <c r="VGH6"/>
      <c r="VGJ6"/>
      <c r="VGL6"/>
      <c r="VGN6"/>
      <c r="VGP6"/>
      <c r="VGR6"/>
      <c r="VGT6"/>
      <c r="VGV6"/>
      <c r="VGX6"/>
      <c r="VGZ6"/>
      <c r="VHB6"/>
      <c r="VHD6"/>
      <c r="VHF6"/>
      <c r="VHH6"/>
      <c r="VHJ6"/>
      <c r="VHL6"/>
      <c r="VHN6"/>
      <c r="VHP6"/>
      <c r="VHR6"/>
      <c r="VHT6"/>
      <c r="VHV6"/>
      <c r="VHX6"/>
      <c r="VHZ6"/>
      <c r="VIB6"/>
      <c r="VID6"/>
      <c r="VIF6"/>
      <c r="VIH6"/>
      <c r="VIJ6"/>
      <c r="VIL6"/>
      <c r="VIN6"/>
      <c r="VIP6"/>
      <c r="VIR6"/>
      <c r="VIT6"/>
      <c r="VIV6"/>
      <c r="VIX6"/>
      <c r="VIZ6"/>
      <c r="VJB6"/>
      <c r="VJD6"/>
      <c r="VJF6"/>
      <c r="VJH6"/>
      <c r="VJJ6"/>
      <c r="VJL6"/>
      <c r="VJN6"/>
      <c r="VJP6"/>
      <c r="VJR6"/>
      <c r="VJT6"/>
      <c r="VJV6"/>
      <c r="VJX6"/>
      <c r="VJZ6"/>
      <c r="VKB6"/>
      <c r="VKD6"/>
      <c r="VKF6"/>
      <c r="VKH6"/>
      <c r="VKJ6"/>
      <c r="VKL6"/>
      <c r="VKN6"/>
      <c r="VKP6"/>
      <c r="VKR6"/>
      <c r="VKT6"/>
      <c r="VKV6"/>
      <c r="VKX6"/>
      <c r="VKZ6"/>
      <c r="VLB6"/>
      <c r="VLD6"/>
      <c r="VLF6"/>
      <c r="VLH6"/>
      <c r="VLJ6"/>
      <c r="VLL6"/>
      <c r="VLN6"/>
      <c r="VLP6"/>
      <c r="VLR6"/>
      <c r="VLT6"/>
      <c r="VLV6"/>
      <c r="VLX6"/>
      <c r="VLZ6"/>
      <c r="VMB6"/>
      <c r="VMD6"/>
      <c r="VMF6"/>
      <c r="VMH6"/>
      <c r="VMJ6"/>
      <c r="VML6"/>
      <c r="VMN6"/>
      <c r="VMP6"/>
      <c r="VMR6"/>
      <c r="VMT6"/>
      <c r="VMV6"/>
      <c r="VMX6"/>
      <c r="VMZ6"/>
      <c r="VNB6"/>
      <c r="VND6"/>
      <c r="VNF6"/>
      <c r="VNH6"/>
      <c r="VNJ6"/>
      <c r="VNL6"/>
      <c r="VNN6"/>
      <c r="VNP6"/>
      <c r="VNR6"/>
      <c r="VNT6"/>
      <c r="VNV6"/>
      <c r="VNX6"/>
      <c r="VNZ6"/>
      <c r="VOB6"/>
      <c r="VOD6"/>
      <c r="VOF6"/>
      <c r="VOH6"/>
      <c r="VOJ6"/>
      <c r="VOL6"/>
      <c r="VON6"/>
      <c r="VOP6"/>
      <c r="VOR6"/>
      <c r="VOT6"/>
      <c r="VOV6"/>
      <c r="VOX6"/>
      <c r="VOZ6"/>
      <c r="VPB6"/>
      <c r="VPD6"/>
      <c r="VPF6"/>
      <c r="VPH6"/>
      <c r="VPJ6"/>
      <c r="VPL6"/>
      <c r="VPN6"/>
      <c r="VPP6"/>
      <c r="VPR6"/>
      <c r="VPT6"/>
      <c r="VPV6"/>
      <c r="VPX6"/>
      <c r="VPZ6"/>
      <c r="VQB6"/>
      <c r="VQD6"/>
      <c r="VQF6"/>
      <c r="VQH6"/>
      <c r="VQJ6"/>
      <c r="VQL6"/>
      <c r="VQN6"/>
      <c r="VQP6"/>
      <c r="VQR6"/>
      <c r="VQT6"/>
      <c r="VQV6"/>
      <c r="VQX6"/>
      <c r="VQZ6"/>
      <c r="VRB6"/>
      <c r="VRD6"/>
      <c r="VRF6"/>
      <c r="VRH6"/>
      <c r="VRJ6"/>
      <c r="VRL6"/>
      <c r="VRN6"/>
      <c r="VRP6"/>
      <c r="VRR6"/>
      <c r="VRT6"/>
      <c r="VRV6"/>
      <c r="VRX6"/>
      <c r="VRZ6"/>
      <c r="VSB6"/>
      <c r="VSD6"/>
      <c r="VSF6"/>
      <c r="VSH6"/>
      <c r="VSJ6"/>
      <c r="VSL6"/>
      <c r="VSN6"/>
      <c r="VSP6"/>
      <c r="VSR6"/>
      <c r="VST6"/>
      <c r="VSV6"/>
      <c r="VSX6"/>
      <c r="VSZ6"/>
      <c r="VTB6"/>
      <c r="VTD6"/>
      <c r="VTF6"/>
      <c r="VTH6"/>
      <c r="VTJ6"/>
      <c r="VTL6"/>
      <c r="VTN6"/>
      <c r="VTP6"/>
      <c r="VTR6"/>
      <c r="VTT6"/>
      <c r="VTV6"/>
      <c r="VTX6"/>
      <c r="VTZ6"/>
      <c r="VUB6"/>
      <c r="VUD6"/>
      <c r="VUF6"/>
      <c r="VUH6"/>
      <c r="VUJ6"/>
      <c r="VUL6"/>
      <c r="VUN6"/>
      <c r="VUP6"/>
      <c r="VUR6"/>
      <c r="VUT6"/>
      <c r="VUV6"/>
      <c r="VUX6"/>
      <c r="VUZ6"/>
      <c r="VVB6"/>
      <c r="VVD6"/>
      <c r="VVF6"/>
      <c r="VVH6"/>
      <c r="VVJ6"/>
      <c r="VVL6"/>
      <c r="VVN6"/>
      <c r="VVP6"/>
      <c r="VVR6"/>
      <c r="VVT6"/>
      <c r="VVV6"/>
      <c r="VVX6"/>
      <c r="VVZ6"/>
      <c r="VWB6"/>
      <c r="VWD6"/>
      <c r="VWF6"/>
      <c r="VWH6"/>
      <c r="VWJ6"/>
      <c r="VWL6"/>
      <c r="VWN6"/>
      <c r="VWP6"/>
      <c r="VWR6"/>
      <c r="VWT6"/>
      <c r="VWV6"/>
      <c r="VWX6"/>
      <c r="VWZ6"/>
      <c r="VXB6"/>
      <c r="VXD6"/>
      <c r="VXF6"/>
      <c r="VXH6"/>
      <c r="VXJ6"/>
      <c r="VXL6"/>
      <c r="VXN6"/>
      <c r="VXP6"/>
      <c r="VXR6"/>
      <c r="VXT6"/>
      <c r="VXV6"/>
      <c r="VXX6"/>
      <c r="VXZ6"/>
      <c r="VYB6"/>
      <c r="VYD6"/>
      <c r="VYF6"/>
      <c r="VYH6"/>
      <c r="VYJ6"/>
      <c r="VYL6"/>
      <c r="VYN6"/>
      <c r="VYP6"/>
      <c r="VYR6"/>
      <c r="VYT6"/>
      <c r="VYV6"/>
      <c r="VYX6"/>
      <c r="VYZ6"/>
      <c r="VZB6"/>
      <c r="VZD6"/>
      <c r="VZF6"/>
      <c r="VZH6"/>
      <c r="VZJ6"/>
      <c r="VZL6"/>
      <c r="VZN6"/>
      <c r="VZP6"/>
      <c r="VZR6"/>
      <c r="VZT6"/>
      <c r="VZV6"/>
      <c r="VZX6"/>
      <c r="VZZ6"/>
      <c r="WAB6"/>
      <c r="WAD6"/>
      <c r="WAF6"/>
      <c r="WAH6"/>
      <c r="WAJ6"/>
      <c r="WAL6"/>
      <c r="WAN6"/>
      <c r="WAP6"/>
      <c r="WAR6"/>
      <c r="WAT6"/>
      <c r="WAV6"/>
      <c r="WAX6"/>
      <c r="WAZ6"/>
      <c r="WBB6"/>
      <c r="WBD6"/>
      <c r="WBF6"/>
      <c r="WBH6"/>
      <c r="WBJ6"/>
      <c r="WBL6"/>
      <c r="WBN6"/>
      <c r="WBP6"/>
      <c r="WBR6"/>
      <c r="WBT6"/>
      <c r="WBV6"/>
      <c r="WBX6"/>
      <c r="WBZ6"/>
      <c r="WCB6"/>
      <c r="WCD6"/>
      <c r="WCF6"/>
      <c r="WCH6"/>
      <c r="WCJ6"/>
      <c r="WCL6"/>
      <c r="WCN6"/>
      <c r="WCP6"/>
      <c r="WCR6"/>
      <c r="WCT6"/>
      <c r="WCV6"/>
      <c r="WCX6"/>
      <c r="WCZ6"/>
      <c r="WDB6"/>
      <c r="WDD6"/>
      <c r="WDF6"/>
      <c r="WDH6"/>
      <c r="WDJ6"/>
      <c r="WDL6"/>
      <c r="WDN6"/>
      <c r="WDP6"/>
      <c r="WDR6"/>
      <c r="WDT6"/>
      <c r="WDV6"/>
      <c r="WDX6"/>
      <c r="WDZ6"/>
      <c r="WEB6"/>
      <c r="WED6"/>
      <c r="WEF6"/>
      <c r="WEH6"/>
      <c r="WEJ6"/>
      <c r="WEL6"/>
      <c r="WEN6"/>
      <c r="WEP6"/>
      <c r="WER6"/>
      <c r="WET6"/>
      <c r="WEV6"/>
      <c r="WEX6"/>
      <c r="WEZ6"/>
      <c r="WFB6"/>
      <c r="WFD6"/>
      <c r="WFF6"/>
      <c r="WFH6"/>
      <c r="WFJ6"/>
      <c r="WFL6"/>
      <c r="WFN6"/>
      <c r="WFP6"/>
      <c r="WFR6"/>
      <c r="WFT6"/>
      <c r="WFV6"/>
      <c r="WFX6"/>
      <c r="WFZ6"/>
      <c r="WGB6"/>
      <c r="WGD6"/>
      <c r="WGF6"/>
      <c r="WGH6"/>
      <c r="WGJ6"/>
      <c r="WGL6"/>
      <c r="WGN6"/>
      <c r="WGP6"/>
      <c r="WGR6"/>
      <c r="WGT6"/>
      <c r="WGV6"/>
      <c r="WGX6"/>
      <c r="WGZ6"/>
      <c r="WHB6"/>
      <c r="WHD6"/>
      <c r="WHF6"/>
      <c r="WHH6"/>
      <c r="WHJ6"/>
      <c r="WHL6"/>
      <c r="WHN6"/>
      <c r="WHP6"/>
      <c r="WHR6"/>
      <c r="WHT6"/>
      <c r="WHV6"/>
      <c r="WHX6"/>
      <c r="WHZ6"/>
      <c r="WIB6"/>
      <c r="WID6"/>
      <c r="WIF6"/>
      <c r="WIH6"/>
      <c r="WIJ6"/>
      <c r="WIL6"/>
      <c r="WIN6"/>
      <c r="WIP6"/>
      <c r="WIR6"/>
      <c r="WIT6"/>
      <c r="WIV6"/>
      <c r="WIX6"/>
      <c r="WIZ6"/>
      <c r="WJB6"/>
      <c r="WJD6"/>
      <c r="WJF6"/>
      <c r="WJH6"/>
      <c r="WJJ6"/>
      <c r="WJL6"/>
      <c r="WJN6"/>
      <c r="WJP6"/>
      <c r="WJR6"/>
      <c r="WJT6"/>
      <c r="WJV6"/>
      <c r="WJX6"/>
      <c r="WJZ6"/>
      <c r="WKB6"/>
      <c r="WKD6"/>
      <c r="WKF6"/>
      <c r="WKH6"/>
      <c r="WKJ6"/>
      <c r="WKL6"/>
      <c r="WKN6"/>
      <c r="WKP6"/>
      <c r="WKR6"/>
      <c r="WKT6"/>
      <c r="WKV6"/>
      <c r="WKX6"/>
      <c r="WKZ6"/>
      <c r="WLB6"/>
      <c r="WLD6"/>
      <c r="WLF6"/>
      <c r="WLH6"/>
      <c r="WLJ6"/>
      <c r="WLL6"/>
      <c r="WLN6"/>
      <c r="WLP6"/>
      <c r="WLR6"/>
      <c r="WLT6"/>
      <c r="WLV6"/>
      <c r="WLX6"/>
      <c r="WLZ6"/>
      <c r="WMB6"/>
      <c r="WMD6"/>
      <c r="WMF6"/>
      <c r="WMH6"/>
      <c r="WMJ6"/>
      <c r="WML6"/>
      <c r="WMN6"/>
      <c r="WMP6"/>
      <c r="WMR6"/>
      <c r="WMT6"/>
      <c r="WMV6"/>
      <c r="WMX6"/>
      <c r="WMZ6"/>
      <c r="WNB6"/>
      <c r="WND6"/>
      <c r="WNF6"/>
      <c r="WNH6"/>
      <c r="WNJ6"/>
      <c r="WNL6"/>
      <c r="WNN6"/>
      <c r="WNP6"/>
      <c r="WNR6"/>
      <c r="WNT6"/>
      <c r="WNV6"/>
      <c r="WNX6"/>
      <c r="WNZ6"/>
      <c r="WOB6"/>
      <c r="WOD6"/>
      <c r="WOF6"/>
      <c r="WOH6"/>
      <c r="WOJ6"/>
      <c r="WOL6"/>
      <c r="WON6"/>
      <c r="WOP6"/>
      <c r="WOR6"/>
      <c r="WOT6"/>
      <c r="WOV6"/>
      <c r="WOX6"/>
      <c r="WOZ6"/>
      <c r="WPB6"/>
      <c r="WPD6"/>
      <c r="WPF6"/>
      <c r="WPH6"/>
      <c r="WPJ6"/>
      <c r="WPL6"/>
      <c r="WPN6"/>
      <c r="WPP6"/>
      <c r="WPR6"/>
      <c r="WPT6"/>
      <c r="WPV6"/>
      <c r="WPX6"/>
      <c r="WPZ6"/>
      <c r="WQB6"/>
      <c r="WQD6"/>
      <c r="WQF6"/>
      <c r="WQH6"/>
      <c r="WQJ6"/>
      <c r="WQL6"/>
      <c r="WQN6"/>
      <c r="WQP6"/>
      <c r="WQR6"/>
      <c r="WQT6"/>
      <c r="WQV6"/>
      <c r="WQX6"/>
      <c r="WQZ6"/>
      <c r="WRB6"/>
      <c r="WRD6"/>
      <c r="WRF6"/>
      <c r="WRH6"/>
      <c r="WRJ6"/>
      <c r="WRL6"/>
      <c r="WRN6"/>
      <c r="WRP6"/>
      <c r="WRR6"/>
      <c r="WRT6"/>
      <c r="WRV6"/>
      <c r="WRX6"/>
      <c r="WRZ6"/>
      <c r="WSB6"/>
      <c r="WSD6"/>
      <c r="WSF6"/>
      <c r="WSH6"/>
      <c r="WSJ6"/>
      <c r="WSL6"/>
      <c r="WSN6"/>
      <c r="WSP6"/>
      <c r="WSR6"/>
      <c r="WST6"/>
      <c r="WSV6"/>
      <c r="WSX6"/>
      <c r="WSZ6"/>
      <c r="WTB6"/>
      <c r="WTD6"/>
      <c r="WTF6"/>
      <c r="WTH6"/>
      <c r="WTJ6"/>
      <c r="WTL6"/>
      <c r="WTN6"/>
      <c r="WTP6"/>
      <c r="WTR6"/>
      <c r="WTT6"/>
      <c r="WTV6"/>
      <c r="WTX6"/>
      <c r="WTZ6"/>
      <c r="WUB6"/>
      <c r="WUD6"/>
      <c r="WUF6"/>
      <c r="WUH6"/>
      <c r="WUJ6"/>
      <c r="WUL6"/>
      <c r="WUN6"/>
      <c r="WUP6"/>
      <c r="WUR6"/>
      <c r="WUT6"/>
      <c r="WUV6"/>
      <c r="WUX6"/>
      <c r="WUZ6"/>
      <c r="WVB6"/>
      <c r="WVD6"/>
      <c r="WVF6"/>
      <c r="WVH6"/>
      <c r="WVJ6"/>
      <c r="WVL6"/>
      <c r="WVN6"/>
      <c r="WVP6"/>
      <c r="WVR6"/>
      <c r="WVT6"/>
      <c r="WVV6"/>
      <c r="WVX6"/>
      <c r="WVZ6"/>
      <c r="WWB6"/>
      <c r="WWD6"/>
      <c r="WWF6"/>
      <c r="WWH6"/>
      <c r="WWJ6"/>
      <c r="WWL6"/>
      <c r="WWN6"/>
      <c r="WWP6"/>
      <c r="WWR6"/>
      <c r="WWT6"/>
      <c r="WWV6"/>
      <c r="WWX6"/>
      <c r="WWZ6"/>
      <c r="WXB6"/>
      <c r="WXD6"/>
      <c r="WXF6"/>
      <c r="WXH6"/>
      <c r="WXJ6"/>
      <c r="WXL6"/>
      <c r="WXN6"/>
      <c r="WXP6"/>
      <c r="WXR6"/>
      <c r="WXT6"/>
      <c r="WXV6"/>
      <c r="WXX6"/>
      <c r="WXZ6"/>
      <c r="WYB6"/>
      <c r="WYD6"/>
      <c r="WYF6"/>
      <c r="WYH6"/>
      <c r="WYJ6"/>
      <c r="WYL6"/>
      <c r="WYN6"/>
      <c r="WYP6"/>
      <c r="WYR6"/>
      <c r="WYT6"/>
      <c r="WYV6"/>
      <c r="WYX6"/>
      <c r="WYZ6"/>
      <c r="WZB6"/>
      <c r="WZD6"/>
      <c r="WZF6"/>
      <c r="WZH6"/>
      <c r="WZJ6"/>
      <c r="WZL6"/>
      <c r="WZN6"/>
      <c r="WZP6"/>
      <c r="WZR6"/>
      <c r="WZT6"/>
      <c r="WZV6"/>
      <c r="WZX6"/>
      <c r="WZZ6"/>
      <c r="XAB6"/>
      <c r="XAD6"/>
      <c r="XAF6"/>
      <c r="XAH6"/>
      <c r="XAJ6"/>
      <c r="XAL6"/>
      <c r="XAN6"/>
      <c r="XAP6"/>
      <c r="XAR6"/>
      <c r="XAT6"/>
      <c r="XAV6"/>
      <c r="XAX6"/>
      <c r="XAZ6"/>
      <c r="XBB6"/>
      <c r="XBD6"/>
      <c r="XBF6"/>
      <c r="XBH6"/>
      <c r="XBJ6"/>
      <c r="XBL6"/>
      <c r="XBN6"/>
      <c r="XBP6"/>
      <c r="XBR6"/>
      <c r="XBT6"/>
      <c r="XBV6"/>
      <c r="XBX6"/>
      <c r="XBZ6"/>
      <c r="XCB6"/>
      <c r="XCD6"/>
      <c r="XCF6"/>
      <c r="XCH6"/>
      <c r="XCJ6"/>
      <c r="XCL6"/>
      <c r="XCN6"/>
      <c r="XCP6"/>
      <c r="XCR6"/>
      <c r="XCT6"/>
      <c r="XCV6"/>
      <c r="XCX6"/>
      <c r="XCZ6"/>
      <c r="XDB6"/>
      <c r="XDD6"/>
      <c r="XDF6"/>
      <c r="XDH6"/>
      <c r="XDJ6"/>
      <c r="XDL6"/>
      <c r="XDN6"/>
      <c r="XDP6"/>
      <c r="XDR6"/>
      <c r="XDT6"/>
      <c r="XDV6"/>
      <c r="XDX6"/>
      <c r="XDZ6"/>
      <c r="XEB6"/>
      <c r="XED6"/>
      <c r="XEF6"/>
    </row>
    <row r="7" spans="1:1024 1026:2048 2050:3072 3074:4096 4098:5120 5122:6144 6146:7168 7170:8192 8194:9216 9218:10240 10242:11264 11266:12288 12290:13312 13314:14336 14338:15360 15362:16360" x14ac:dyDescent="0.2">
      <c r="A7" t="s">
        <v>132</v>
      </c>
      <c r="B7" t="s">
        <v>16</v>
      </c>
      <c r="C7">
        <v>37250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30000</v>
      </c>
      <c r="R7">
        <v>0</v>
      </c>
      <c r="S7">
        <v>0</v>
      </c>
      <c r="T7">
        <v>0</v>
      </c>
    </row>
    <row r="8" spans="1:1024 1026:2048 2050:3072 3074:4096 4098:5120 5122:6144 6146:7168 7170:8192 8194:9216 9218:10240 10242:11264 11266:12288 12290:13312 13314:14336 14338:15360 15362:16360" x14ac:dyDescent="0.2">
      <c r="A8" t="s">
        <v>133</v>
      </c>
      <c r="B8" t="s">
        <v>17</v>
      </c>
      <c r="C8">
        <v>36300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30000</v>
      </c>
      <c r="R8">
        <v>0</v>
      </c>
      <c r="S8">
        <v>0</v>
      </c>
      <c r="T8">
        <v>0</v>
      </c>
    </row>
    <row r="9" spans="1:1024 1026:2048 2050:3072 3074:4096 4098:5120 5122:6144 6146:7168 7170:8192 8194:9216 9218:10240 10242:11264 11266:12288 12290:13312 13314:14336 14338:15360 15362:16360" x14ac:dyDescent="0.2">
      <c r="A9" t="s">
        <v>134</v>
      </c>
      <c r="B9" t="s">
        <v>18</v>
      </c>
      <c r="C9">
        <v>24450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21000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1024 1026:2048 2050:3072 3074:4096 4098:5120 5122:6144 6146:7168 7170:8192 8194:9216 9218:10240 10242:11264 11266:12288 12290:13312 13314:14336 14338:15360 15362:16360" x14ac:dyDescent="0.2">
      <c r="A10" t="s">
        <v>135</v>
      </c>
      <c r="B10" t="s">
        <v>19</v>
      </c>
      <c r="C10">
        <v>11210</v>
      </c>
      <c r="D10">
        <v>0</v>
      </c>
      <c r="E10">
        <v>0</v>
      </c>
      <c r="F10">
        <v>0</v>
      </c>
      <c r="G10">
        <v>0</v>
      </c>
      <c r="H10">
        <v>9000</v>
      </c>
      <c r="I10">
        <v>0</v>
      </c>
      <c r="J10">
        <v>0</v>
      </c>
      <c r="K10">
        <v>9000</v>
      </c>
      <c r="L10">
        <v>0</v>
      </c>
      <c r="M10">
        <v>0</v>
      </c>
      <c r="N10">
        <v>0</v>
      </c>
      <c r="O10">
        <v>0</v>
      </c>
      <c r="P10">
        <v>9000</v>
      </c>
      <c r="Q10">
        <v>0</v>
      </c>
      <c r="R10">
        <v>0</v>
      </c>
      <c r="S10">
        <v>0</v>
      </c>
      <c r="T10">
        <v>0</v>
      </c>
    </row>
    <row r="11" spans="1:1024 1026:2048 2050:3072 3074:4096 4098:5120 5122:6144 6146:7168 7170:8192 8194:9216 9218:10240 10242:11264 11266:12288 12290:13312 13314:14336 14338:15360 15362:16360" x14ac:dyDescent="0.2">
      <c r="A11" t="s">
        <v>136</v>
      </c>
      <c r="B11" t="s">
        <v>20</v>
      </c>
      <c r="C11">
        <v>22410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1024 1026:2048 2050:3072 3074:4096 4098:5120 5122:6144 6146:7168 7170:8192 8194:9216 9218:10240 10242:11264 11266:12288 12290:13312 13314:14336 14338:15360 15362:16360" x14ac:dyDescent="0.2">
      <c r="A12" t="s">
        <v>137</v>
      </c>
      <c r="B12" t="s">
        <v>21</v>
      </c>
      <c r="C12">
        <v>11000</v>
      </c>
      <c r="D12">
        <v>0</v>
      </c>
      <c r="E12">
        <v>0</v>
      </c>
      <c r="F12">
        <v>0</v>
      </c>
      <c r="G12">
        <v>0</v>
      </c>
      <c r="H12">
        <v>9000</v>
      </c>
      <c r="I12">
        <v>0</v>
      </c>
      <c r="J12">
        <v>0</v>
      </c>
      <c r="K12">
        <v>9000</v>
      </c>
      <c r="L12">
        <v>0</v>
      </c>
      <c r="M12">
        <v>0</v>
      </c>
      <c r="N12">
        <v>0</v>
      </c>
      <c r="O12">
        <v>0</v>
      </c>
      <c r="P12">
        <v>9000</v>
      </c>
      <c r="Q12">
        <v>0</v>
      </c>
      <c r="R12">
        <v>0</v>
      </c>
      <c r="S12">
        <v>0</v>
      </c>
      <c r="T12">
        <v>0</v>
      </c>
    </row>
    <row r="13" spans="1:1024 1026:2048 2050:3072 3074:4096 4098:5120 5122:6144 6146:7168 7170:8192 8194:9216 9218:10240 10242:11264 11266:12288 12290:13312 13314:14336 14338:15360 15362:16360" x14ac:dyDescent="0.2">
      <c r="A13" t="s">
        <v>138</v>
      </c>
      <c r="B13" t="s">
        <v>22</v>
      </c>
      <c r="C13">
        <v>7840</v>
      </c>
      <c r="D13">
        <v>0</v>
      </c>
      <c r="E13">
        <v>0</v>
      </c>
      <c r="F13">
        <v>0</v>
      </c>
      <c r="G13">
        <v>6000</v>
      </c>
      <c r="H13">
        <v>0</v>
      </c>
      <c r="I13">
        <v>6000</v>
      </c>
      <c r="J13">
        <v>0</v>
      </c>
      <c r="K13">
        <v>6000</v>
      </c>
      <c r="L13">
        <v>0</v>
      </c>
      <c r="M13">
        <v>0</v>
      </c>
      <c r="N13">
        <v>0</v>
      </c>
      <c r="O13">
        <v>6000</v>
      </c>
      <c r="P13">
        <v>0</v>
      </c>
      <c r="Q13">
        <v>6000</v>
      </c>
      <c r="R13">
        <v>0</v>
      </c>
      <c r="S13">
        <v>0</v>
      </c>
      <c r="T13">
        <v>0</v>
      </c>
    </row>
    <row r="14" spans="1:1024 1026:2048 2050:3072 3074:4096 4098:5120 5122:6144 6146:7168 7170:8192 8194:9216 9218:10240 10242:11264 11266:12288 12290:13312 13314:14336 14338:15360 15362:16360" x14ac:dyDescent="0.2">
      <c r="A14" t="s">
        <v>139</v>
      </c>
      <c r="B14" t="s">
        <v>23</v>
      </c>
      <c r="C14">
        <v>7530</v>
      </c>
      <c r="D14">
        <v>0</v>
      </c>
      <c r="E14">
        <v>0</v>
      </c>
      <c r="F14">
        <v>0</v>
      </c>
      <c r="G14">
        <v>6000</v>
      </c>
      <c r="H14">
        <v>0</v>
      </c>
      <c r="I14">
        <v>6000</v>
      </c>
      <c r="J14">
        <v>0</v>
      </c>
      <c r="K14">
        <v>6000</v>
      </c>
      <c r="L14">
        <v>0</v>
      </c>
      <c r="M14">
        <v>0</v>
      </c>
      <c r="N14">
        <v>0</v>
      </c>
      <c r="O14">
        <v>6000</v>
      </c>
      <c r="P14">
        <v>0</v>
      </c>
      <c r="Q14">
        <v>6000</v>
      </c>
      <c r="R14">
        <v>0</v>
      </c>
      <c r="S14">
        <v>0</v>
      </c>
      <c r="T14">
        <v>0</v>
      </c>
    </row>
    <row r="15" spans="1:1024 1026:2048 2050:3072 3074:4096 4098:5120 5122:6144 6146:7168 7170:8192 8194:9216 9218:10240 10242:11264 11266:12288 12290:13312 13314:14336 14338:15360 15362:16360" x14ac:dyDescent="0.2">
      <c r="A15" t="s">
        <v>140</v>
      </c>
      <c r="B15" t="s">
        <v>24</v>
      </c>
      <c r="C15">
        <v>11000</v>
      </c>
      <c r="D15">
        <v>0</v>
      </c>
      <c r="E15">
        <v>0</v>
      </c>
      <c r="F15">
        <v>0</v>
      </c>
      <c r="G15">
        <v>0</v>
      </c>
      <c r="H15">
        <v>9000</v>
      </c>
      <c r="I15">
        <v>0</v>
      </c>
      <c r="J15">
        <v>0</v>
      </c>
      <c r="K15">
        <v>9000</v>
      </c>
      <c r="L15">
        <v>0</v>
      </c>
      <c r="M15">
        <v>0</v>
      </c>
      <c r="N15">
        <v>0</v>
      </c>
      <c r="O15">
        <v>0</v>
      </c>
      <c r="P15">
        <v>9000</v>
      </c>
      <c r="Q15">
        <v>0</v>
      </c>
      <c r="R15">
        <v>0</v>
      </c>
      <c r="S15">
        <v>0</v>
      </c>
      <c r="T15">
        <v>0</v>
      </c>
    </row>
    <row r="16" spans="1:1024 1026:2048 2050:3072 3074:4096 4098:5120 5122:6144 6146:7168 7170:8192 8194:9216 9218:10240 10242:11264 11266:12288 12290:13312 13314:14336 14338:15360 15362:16360" x14ac:dyDescent="0.2">
      <c r="A16" t="s">
        <v>141</v>
      </c>
      <c r="B16" t="s">
        <v>25</v>
      </c>
      <c r="C16">
        <v>7300</v>
      </c>
      <c r="D16">
        <v>0</v>
      </c>
      <c r="E16">
        <v>0</v>
      </c>
      <c r="F16">
        <v>0</v>
      </c>
      <c r="G16">
        <v>6000</v>
      </c>
      <c r="H16">
        <v>0</v>
      </c>
      <c r="I16">
        <v>6000</v>
      </c>
      <c r="J16">
        <v>0</v>
      </c>
      <c r="K16">
        <v>6000</v>
      </c>
      <c r="L16">
        <v>0</v>
      </c>
      <c r="M16">
        <v>0</v>
      </c>
      <c r="N16">
        <v>0</v>
      </c>
      <c r="O16">
        <v>6000</v>
      </c>
      <c r="P16">
        <v>0</v>
      </c>
      <c r="Q16">
        <v>6000</v>
      </c>
      <c r="R16">
        <v>0</v>
      </c>
      <c r="S16">
        <v>0</v>
      </c>
      <c r="T16">
        <v>0</v>
      </c>
    </row>
    <row r="18" spans="1:17" x14ac:dyDescent="0.2">
      <c r="A18" s="17"/>
      <c r="B18" s="18"/>
    </row>
    <row r="19" spans="1:17" x14ac:dyDescent="0.2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x14ac:dyDescent="0.2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x14ac:dyDescent="0.2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2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x14ac:dyDescent="0.2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x14ac:dyDescent="0.2">
      <c r="B24" s="5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x14ac:dyDescent="0.2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x14ac:dyDescent="0.2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x14ac:dyDescent="0.2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x14ac:dyDescent="0.2"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 x14ac:dyDescent="0.2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x14ac:dyDescent="0.2"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x14ac:dyDescent="0.2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x14ac:dyDescent="0.2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22" x14ac:dyDescent="0.2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22" x14ac:dyDescent="0.2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22" x14ac:dyDescent="0.2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22" x14ac:dyDescent="0.2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22" x14ac:dyDescent="0.2">
      <c r="A37" s="14"/>
      <c r="B37" s="16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22" x14ac:dyDescent="0.2"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U38" s="15"/>
      <c r="V38" s="15" t="s">
        <v>509</v>
      </c>
    </row>
    <row r="39" spans="1:22" x14ac:dyDescent="0.2"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U39" s="15"/>
      <c r="V39" s="15"/>
    </row>
    <row r="40" spans="1:22" x14ac:dyDescent="0.2"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U40" s="15"/>
    </row>
    <row r="41" spans="1:22" x14ac:dyDescent="0.2"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U41" s="15"/>
    </row>
    <row r="42" spans="1:22" x14ac:dyDescent="0.2"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U42" s="15"/>
    </row>
    <row r="43" spans="1:22" x14ac:dyDescent="0.2">
      <c r="B43" s="5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U43" s="15"/>
    </row>
    <row r="44" spans="1:22" x14ac:dyDescent="0.2"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U44" s="15"/>
    </row>
    <row r="45" spans="1:22" x14ac:dyDescent="0.2"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U45" s="15"/>
    </row>
    <row r="46" spans="1:22" x14ac:dyDescent="0.2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U46" s="15"/>
    </row>
    <row r="47" spans="1:22" x14ac:dyDescent="0.2"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U47" s="15"/>
    </row>
    <row r="48" spans="1:22" x14ac:dyDescent="0.2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U48" s="15"/>
    </row>
    <row r="49" spans="3:21" x14ac:dyDescent="0.2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U49" s="15"/>
    </row>
    <row r="50" spans="3:21" x14ac:dyDescent="0.2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U50" s="15"/>
    </row>
    <row r="51" spans="3:21" x14ac:dyDescent="0.2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U51" s="15"/>
    </row>
    <row r="52" spans="3:21" x14ac:dyDescent="0.2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U52" s="15"/>
    </row>
    <row r="53" spans="3:21" x14ac:dyDescent="0.2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U53" s="15"/>
    </row>
    <row r="54" spans="3:21" x14ac:dyDescent="0.2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U54" s="15"/>
    </row>
    <row r="55" spans="3:21" x14ac:dyDescent="0.2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3:21" x14ac:dyDescent="0.2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3:21" x14ac:dyDescent="0.2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3:21" x14ac:dyDescent="0.2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3:21" x14ac:dyDescent="0.2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3:21" x14ac:dyDescent="0.2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3:21" x14ac:dyDescent="0.2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3:21" x14ac:dyDescent="0.2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3:21" x14ac:dyDescent="0.2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3:21" x14ac:dyDescent="0.2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55B5-566A-4680-BEA0-AFAE836475C4}">
  <dimension ref="A1:F16"/>
  <sheetViews>
    <sheetView workbookViewId="0">
      <selection activeCell="F2" sqref="F2:F16"/>
    </sheetView>
  </sheetViews>
  <sheetFormatPr baseColWidth="10" defaultColWidth="8.83203125" defaultRowHeight="15" x14ac:dyDescent="0.2"/>
  <cols>
    <col min="1" max="1" width="9.6640625" bestFit="1" customWidth="1"/>
    <col min="2" max="2" width="14.6640625" bestFit="1" customWidth="1"/>
    <col min="3" max="3" width="11" bestFit="1" customWidth="1"/>
    <col min="4" max="4" width="15" bestFit="1" customWidth="1"/>
    <col min="5" max="5" width="11.5" bestFit="1" customWidth="1"/>
    <col min="6" max="6" width="20.6640625" customWidth="1"/>
  </cols>
  <sheetData>
    <row r="1" spans="1:6" x14ac:dyDescent="0.2">
      <c r="A1" t="s">
        <v>451</v>
      </c>
      <c r="B1" t="s">
        <v>450</v>
      </c>
      <c r="C1" t="s">
        <v>449</v>
      </c>
      <c r="D1" t="s">
        <v>500</v>
      </c>
      <c r="E1" t="s">
        <v>501</v>
      </c>
      <c r="F1" t="s">
        <v>510</v>
      </c>
    </row>
    <row r="2" spans="1:6" x14ac:dyDescent="0.2">
      <c r="A2" t="s">
        <v>128</v>
      </c>
      <c r="B2" t="s">
        <v>12</v>
      </c>
      <c r="C2" t="s">
        <v>446</v>
      </c>
      <c r="D2">
        <v>1</v>
      </c>
      <c r="F2">
        <f>IF(E2="", D2, MIN(D2:E2))</f>
        <v>1</v>
      </c>
    </row>
    <row r="3" spans="1:6" x14ac:dyDescent="0.2">
      <c r="A3" t="s">
        <v>129</v>
      </c>
      <c r="B3" t="s">
        <v>13</v>
      </c>
      <c r="C3" t="s">
        <v>447</v>
      </c>
      <c r="D3">
        <v>7</v>
      </c>
      <c r="E3">
        <v>3</v>
      </c>
      <c r="F3">
        <f t="shared" ref="F3:F16" si="0">IF(E3="", D3, MIN(D3:E3))</f>
        <v>3</v>
      </c>
    </row>
    <row r="4" spans="1:6" x14ac:dyDescent="0.2">
      <c r="A4" t="s">
        <v>130</v>
      </c>
      <c r="B4" t="s">
        <v>14</v>
      </c>
      <c r="C4" t="s">
        <v>448</v>
      </c>
      <c r="D4">
        <v>2</v>
      </c>
      <c r="F4">
        <f t="shared" si="0"/>
        <v>2</v>
      </c>
    </row>
    <row r="5" spans="1:6" x14ac:dyDescent="0.2">
      <c r="A5" t="s">
        <v>131</v>
      </c>
      <c r="B5" t="s">
        <v>15</v>
      </c>
      <c r="C5" t="s">
        <v>446</v>
      </c>
      <c r="D5">
        <v>1</v>
      </c>
      <c r="F5">
        <f t="shared" si="0"/>
        <v>1</v>
      </c>
    </row>
    <row r="6" spans="1:6" x14ac:dyDescent="0.2">
      <c r="A6" t="s">
        <v>437</v>
      </c>
      <c r="B6" s="5" t="s">
        <v>438</v>
      </c>
      <c r="C6" t="s">
        <v>448</v>
      </c>
      <c r="D6">
        <v>2</v>
      </c>
      <c r="F6">
        <f t="shared" si="0"/>
        <v>2</v>
      </c>
    </row>
    <row r="7" spans="1:6" x14ac:dyDescent="0.2">
      <c r="A7" t="s">
        <v>132</v>
      </c>
      <c r="B7" t="s">
        <v>16</v>
      </c>
      <c r="C7" t="s">
        <v>447</v>
      </c>
      <c r="D7">
        <v>10</v>
      </c>
      <c r="E7">
        <v>3</v>
      </c>
      <c r="F7">
        <f t="shared" si="0"/>
        <v>3</v>
      </c>
    </row>
    <row r="8" spans="1:6" x14ac:dyDescent="0.2">
      <c r="A8" t="s">
        <v>133</v>
      </c>
      <c r="B8" t="s">
        <v>17</v>
      </c>
      <c r="C8" t="s">
        <v>447</v>
      </c>
      <c r="D8">
        <v>10</v>
      </c>
      <c r="E8">
        <v>3</v>
      </c>
      <c r="F8">
        <f t="shared" si="0"/>
        <v>3</v>
      </c>
    </row>
    <row r="9" spans="1:6" x14ac:dyDescent="0.2">
      <c r="A9" t="s">
        <v>134</v>
      </c>
      <c r="B9" t="s">
        <v>18</v>
      </c>
      <c r="C9" t="s">
        <v>447</v>
      </c>
      <c r="D9">
        <v>7</v>
      </c>
      <c r="E9">
        <v>3</v>
      </c>
      <c r="F9">
        <f t="shared" si="0"/>
        <v>3</v>
      </c>
    </row>
    <row r="10" spans="1:6" x14ac:dyDescent="0.2">
      <c r="A10" t="s">
        <v>135</v>
      </c>
      <c r="B10" t="s">
        <v>19</v>
      </c>
      <c r="C10" t="s">
        <v>448</v>
      </c>
      <c r="D10">
        <v>3</v>
      </c>
      <c r="F10">
        <f t="shared" si="0"/>
        <v>3</v>
      </c>
    </row>
    <row r="11" spans="1:6" x14ac:dyDescent="0.2">
      <c r="A11" t="s">
        <v>136</v>
      </c>
      <c r="B11" t="s">
        <v>20</v>
      </c>
      <c r="C11" t="s">
        <v>447</v>
      </c>
      <c r="D11">
        <v>7</v>
      </c>
      <c r="E11">
        <v>3</v>
      </c>
      <c r="F11">
        <f t="shared" si="0"/>
        <v>3</v>
      </c>
    </row>
    <row r="12" spans="1:6" x14ac:dyDescent="0.2">
      <c r="A12" t="s">
        <v>137</v>
      </c>
      <c r="B12" t="s">
        <v>21</v>
      </c>
      <c r="C12" t="s">
        <v>448</v>
      </c>
      <c r="D12">
        <v>3</v>
      </c>
      <c r="E12">
        <v>1</v>
      </c>
      <c r="F12">
        <f t="shared" si="0"/>
        <v>1</v>
      </c>
    </row>
    <row r="13" spans="1:6" x14ac:dyDescent="0.2">
      <c r="A13" t="s">
        <v>138</v>
      </c>
      <c r="B13" t="s">
        <v>22</v>
      </c>
      <c r="C13" t="s">
        <v>448</v>
      </c>
      <c r="D13">
        <v>2</v>
      </c>
      <c r="F13">
        <f t="shared" si="0"/>
        <v>2</v>
      </c>
    </row>
    <row r="14" spans="1:6" x14ac:dyDescent="0.2">
      <c r="A14" t="s">
        <v>139</v>
      </c>
      <c r="B14" t="s">
        <v>23</v>
      </c>
      <c r="C14" t="s">
        <v>448</v>
      </c>
      <c r="D14">
        <v>2</v>
      </c>
      <c r="F14">
        <f t="shared" si="0"/>
        <v>2</v>
      </c>
    </row>
    <row r="15" spans="1:6" x14ac:dyDescent="0.2">
      <c r="A15" t="s">
        <v>140</v>
      </c>
      <c r="B15" t="s">
        <v>24</v>
      </c>
      <c r="C15" t="s">
        <v>448</v>
      </c>
      <c r="D15">
        <v>3</v>
      </c>
      <c r="E15">
        <v>1</v>
      </c>
      <c r="F15">
        <f t="shared" si="0"/>
        <v>1</v>
      </c>
    </row>
    <row r="16" spans="1:6" x14ac:dyDescent="0.2">
      <c r="A16" t="s">
        <v>141</v>
      </c>
      <c r="B16" t="s">
        <v>25</v>
      </c>
      <c r="C16" t="s">
        <v>448</v>
      </c>
      <c r="D16">
        <v>2</v>
      </c>
      <c r="F16">
        <f t="shared" si="0"/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F2D9-21C5-364C-8373-B3685BD7E3F5}">
  <dimension ref="A1:D5"/>
  <sheetViews>
    <sheetView workbookViewId="0">
      <selection activeCell="F6" sqref="F6"/>
    </sheetView>
  </sheetViews>
  <sheetFormatPr baseColWidth="10" defaultColWidth="10.83203125" defaultRowHeight="15" x14ac:dyDescent="0.2"/>
  <cols>
    <col min="1" max="1" width="12.5" bestFit="1" customWidth="1"/>
    <col min="2" max="2" width="12.5" customWidth="1"/>
    <col min="3" max="3" width="14.5" bestFit="1" customWidth="1"/>
  </cols>
  <sheetData>
    <row r="1" spans="1:4" x14ac:dyDescent="0.2">
      <c r="A1" t="s">
        <v>5</v>
      </c>
      <c r="B1" t="s">
        <v>495</v>
      </c>
      <c r="C1" t="s">
        <v>492</v>
      </c>
      <c r="D1" t="s">
        <v>511</v>
      </c>
    </row>
    <row r="2" spans="1:4" x14ac:dyDescent="0.2">
      <c r="A2" t="s">
        <v>436</v>
      </c>
      <c r="B2">
        <v>18200</v>
      </c>
      <c r="C2" s="12">
        <v>0.05</v>
      </c>
      <c r="D2" s="12">
        <v>0.15</v>
      </c>
    </row>
    <row r="3" spans="1:4" x14ac:dyDescent="0.2">
      <c r="A3" t="s">
        <v>241</v>
      </c>
      <c r="B3">
        <v>18800</v>
      </c>
      <c r="C3" s="12">
        <v>0.02</v>
      </c>
      <c r="D3" s="12">
        <v>0.15</v>
      </c>
    </row>
    <row r="4" spans="1:4" x14ac:dyDescent="0.2">
      <c r="A4" t="s">
        <v>243</v>
      </c>
      <c r="B4">
        <v>18700</v>
      </c>
      <c r="C4" s="12">
        <v>0.03</v>
      </c>
      <c r="D4" s="12">
        <v>0.14000000000000001</v>
      </c>
    </row>
    <row r="5" spans="1:4" x14ac:dyDescent="0.2">
      <c r="A5" t="s">
        <v>339</v>
      </c>
      <c r="B5">
        <v>19100</v>
      </c>
      <c r="C5" s="13">
        <v>0.01</v>
      </c>
      <c r="D5" s="12">
        <v>0.15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98B4-3B54-4580-8805-774C1EEDE59F}">
  <dimension ref="A1:XEF103"/>
  <sheetViews>
    <sheetView topLeftCell="A17" zoomScale="90" zoomScaleNormal="90" workbookViewId="0">
      <selection activeCell="D39" sqref="D39"/>
    </sheetView>
  </sheetViews>
  <sheetFormatPr baseColWidth="10" defaultColWidth="8.83203125" defaultRowHeight="15" x14ac:dyDescent="0.2"/>
  <cols>
    <col min="1" max="1" width="9.6640625" bestFit="1" customWidth="1"/>
    <col min="2" max="2" width="17.5" bestFit="1" customWidth="1"/>
    <col min="3" max="3" width="6.83203125" style="6" bestFit="1" customWidth="1"/>
    <col min="4" max="13" width="6" style="6" bestFit="1" customWidth="1"/>
    <col min="14" max="14" width="6.83203125" style="6" bestFit="1" customWidth="1"/>
    <col min="15" max="16" width="6" style="6" bestFit="1" customWidth="1"/>
    <col min="17" max="17" width="6.83203125" style="6" bestFit="1" customWidth="1"/>
    <col min="18" max="20" width="6" bestFit="1" customWidth="1"/>
    <col min="21" max="21" width="11.33203125" customWidth="1"/>
    <col min="22" max="22" width="10.5" customWidth="1"/>
    <col min="23" max="23" width="18.33203125" customWidth="1"/>
  </cols>
  <sheetData>
    <row r="1" spans="1:1024 1026:2048 2050:3072 3074:4096 4098:5120 5122:6144 6146:7168 7170:8192 8194:9216 9218:10240 10242:11264 11266:12288 12290:13312 13314:14336 14338:15360 15362:16360" ht="78" customHeight="1" x14ac:dyDescent="0.2">
      <c r="A1" t="s">
        <v>451</v>
      </c>
      <c r="B1" t="s">
        <v>450</v>
      </c>
      <c r="C1" s="8">
        <v>45029</v>
      </c>
      <c r="D1" s="8">
        <v>45030</v>
      </c>
      <c r="E1" s="8">
        <v>45031</v>
      </c>
      <c r="F1" s="8">
        <v>45032</v>
      </c>
      <c r="G1" s="8">
        <v>45033</v>
      </c>
      <c r="H1" s="8">
        <v>45034</v>
      </c>
      <c r="I1" s="8">
        <v>45035</v>
      </c>
      <c r="J1" s="8">
        <v>45036</v>
      </c>
      <c r="K1" s="8">
        <v>45037</v>
      </c>
      <c r="L1" s="8">
        <v>45038</v>
      </c>
      <c r="M1" s="8">
        <v>45039</v>
      </c>
      <c r="N1" s="8">
        <v>45040</v>
      </c>
      <c r="O1" s="8">
        <v>45041</v>
      </c>
      <c r="P1" s="8">
        <v>45042</v>
      </c>
      <c r="Q1" s="8">
        <v>45043</v>
      </c>
      <c r="R1" s="8">
        <v>45044</v>
      </c>
      <c r="S1" s="8">
        <v>45045</v>
      </c>
      <c r="T1" s="8">
        <v>45046</v>
      </c>
    </row>
    <row r="2" spans="1:1024 1026:2048 2050:3072 3074:4096 4098:5120 5122:6144 6146:7168 7170:8192 8194:9216 9218:10240 10242:11264 11266:12288 12290:13312 13314:14336 14338:15360 15362:16360" x14ac:dyDescent="0.2">
      <c r="A2" t="s">
        <v>128</v>
      </c>
      <c r="B2" t="s">
        <v>12</v>
      </c>
      <c r="C2">
        <v>3630.0000000000005</v>
      </c>
      <c r="D2">
        <v>3000</v>
      </c>
      <c r="E2">
        <v>0</v>
      </c>
      <c r="F2">
        <v>0</v>
      </c>
      <c r="G2">
        <v>3000</v>
      </c>
      <c r="H2">
        <v>3000</v>
      </c>
      <c r="I2">
        <v>3000</v>
      </c>
      <c r="J2">
        <v>3000</v>
      </c>
      <c r="K2">
        <v>3000</v>
      </c>
      <c r="L2">
        <v>0</v>
      </c>
      <c r="M2">
        <v>0</v>
      </c>
      <c r="N2">
        <v>3000</v>
      </c>
      <c r="O2">
        <v>3000</v>
      </c>
      <c r="P2">
        <v>3000</v>
      </c>
      <c r="Q2">
        <v>3000</v>
      </c>
      <c r="R2">
        <v>3000</v>
      </c>
      <c r="S2">
        <v>0</v>
      </c>
      <c r="T2">
        <v>0</v>
      </c>
    </row>
    <row r="3" spans="1:1024 1026:2048 2050:3072 3074:4096 4098:5120 5122:6144 6146:7168 7170:8192 8194:9216 9218:10240 10242:11264 11266:12288 12290:13312 13314:14336 14338:15360 15362:16360" x14ac:dyDescent="0.2">
      <c r="A3" t="s">
        <v>129</v>
      </c>
      <c r="B3" t="s">
        <v>13</v>
      </c>
      <c r="C3">
        <v>23410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1024 1026:2048 2050:3072 3074:4096 4098:5120 5122:6144 6146:7168 7170:8192 8194:9216 9218:10240 10242:11264 11266:12288 12290:13312 13314:14336 14338:15360 15362:16360" x14ac:dyDescent="0.2">
      <c r="A4" t="s">
        <v>130</v>
      </c>
      <c r="B4" t="s">
        <v>14</v>
      </c>
      <c r="C4">
        <v>7260</v>
      </c>
      <c r="D4">
        <v>0</v>
      </c>
      <c r="E4">
        <v>0</v>
      </c>
      <c r="F4">
        <v>0</v>
      </c>
      <c r="G4">
        <v>6000</v>
      </c>
      <c r="H4">
        <v>0</v>
      </c>
      <c r="I4">
        <v>6000</v>
      </c>
      <c r="J4">
        <v>0</v>
      </c>
      <c r="K4">
        <v>6000</v>
      </c>
      <c r="L4">
        <v>0</v>
      </c>
      <c r="M4">
        <v>0</v>
      </c>
      <c r="N4">
        <v>0</v>
      </c>
      <c r="O4">
        <v>6000</v>
      </c>
      <c r="P4">
        <v>0</v>
      </c>
      <c r="Q4">
        <v>6000</v>
      </c>
      <c r="R4">
        <v>0</v>
      </c>
      <c r="S4">
        <v>0</v>
      </c>
      <c r="T4">
        <v>0</v>
      </c>
    </row>
    <row r="5" spans="1:1024 1026:2048 2050:3072 3074:4096 4098:5120 5122:6144 6146:7168 7170:8192 8194:9216 9218:10240 10242:11264 11266:12288 12290:13312 13314:14336 14338:15360 15362:16360" x14ac:dyDescent="0.2">
      <c r="A5" t="s">
        <v>131</v>
      </c>
      <c r="B5" t="s">
        <v>15</v>
      </c>
      <c r="C5">
        <v>3940</v>
      </c>
      <c r="D5">
        <v>3000</v>
      </c>
      <c r="E5">
        <v>0</v>
      </c>
      <c r="F5">
        <v>0</v>
      </c>
      <c r="G5">
        <v>3000</v>
      </c>
      <c r="H5">
        <v>3000</v>
      </c>
      <c r="I5">
        <v>3000</v>
      </c>
      <c r="J5">
        <v>3000</v>
      </c>
      <c r="K5">
        <v>3000</v>
      </c>
      <c r="L5">
        <v>0</v>
      </c>
      <c r="M5">
        <v>0</v>
      </c>
      <c r="N5">
        <v>3000</v>
      </c>
      <c r="O5">
        <v>3000</v>
      </c>
      <c r="P5">
        <v>3000</v>
      </c>
      <c r="Q5">
        <v>3000</v>
      </c>
      <c r="R5">
        <v>3000</v>
      </c>
      <c r="S5">
        <v>0</v>
      </c>
      <c r="T5">
        <v>0</v>
      </c>
    </row>
    <row r="6" spans="1:1024 1026:2048 2050:3072 3074:4096 4098:5120 5122:6144 6146:7168 7170:8192 8194:9216 9218:10240 10242:11264 11266:12288 12290:13312 13314:14336 14338:15360 15362:16360" s="3" customFormat="1" x14ac:dyDescent="0.2">
      <c r="A6" t="s">
        <v>437</v>
      </c>
      <c r="B6" s="5" t="s">
        <v>438</v>
      </c>
      <c r="C6">
        <v>7260.0000000000009</v>
      </c>
      <c r="D6">
        <v>0</v>
      </c>
      <c r="E6">
        <v>0</v>
      </c>
      <c r="F6">
        <v>0</v>
      </c>
      <c r="G6">
        <v>6000</v>
      </c>
      <c r="H6">
        <v>0</v>
      </c>
      <c r="I6">
        <v>6000</v>
      </c>
      <c r="J6">
        <v>0</v>
      </c>
      <c r="K6">
        <v>6000</v>
      </c>
      <c r="L6">
        <v>0</v>
      </c>
      <c r="M6">
        <v>0</v>
      </c>
      <c r="N6">
        <v>0</v>
      </c>
      <c r="O6">
        <v>6000</v>
      </c>
      <c r="P6">
        <v>0</v>
      </c>
      <c r="Q6">
        <v>6000</v>
      </c>
      <c r="R6">
        <v>0</v>
      </c>
      <c r="S6">
        <v>0</v>
      </c>
      <c r="T6">
        <v>0</v>
      </c>
      <c r="U6"/>
      <c r="V6"/>
      <c r="W6"/>
      <c r="Y6"/>
      <c r="Z6"/>
      <c r="AB6"/>
      <c r="AD6"/>
      <c r="AF6"/>
      <c r="AH6"/>
      <c r="AJ6"/>
      <c r="AL6"/>
      <c r="AN6"/>
      <c r="AP6"/>
      <c r="AR6"/>
      <c r="AT6"/>
      <c r="AV6"/>
      <c r="AX6"/>
      <c r="AZ6"/>
      <c r="BB6"/>
      <c r="BD6"/>
      <c r="BF6"/>
      <c r="BH6"/>
      <c r="BJ6"/>
      <c r="BL6"/>
      <c r="BN6"/>
      <c r="BP6"/>
      <c r="BR6"/>
      <c r="BT6"/>
      <c r="BV6"/>
      <c r="BX6"/>
      <c r="BZ6"/>
      <c r="CB6"/>
      <c r="CD6"/>
      <c r="CF6"/>
      <c r="CH6"/>
      <c r="CJ6"/>
      <c r="CL6"/>
      <c r="CN6"/>
      <c r="CP6"/>
      <c r="CR6"/>
      <c r="CT6"/>
      <c r="CV6"/>
      <c r="CX6"/>
      <c r="CZ6"/>
      <c r="DB6"/>
      <c r="DD6"/>
      <c r="DF6"/>
      <c r="DH6"/>
      <c r="DJ6"/>
      <c r="DL6"/>
      <c r="DN6"/>
      <c r="DP6"/>
      <c r="DR6"/>
      <c r="DT6"/>
      <c r="DV6"/>
      <c r="DX6"/>
      <c r="DZ6"/>
      <c r="EB6"/>
      <c r="ED6"/>
      <c r="EF6"/>
      <c r="EH6"/>
      <c r="EJ6"/>
      <c r="EL6"/>
      <c r="EN6"/>
      <c r="EP6"/>
      <c r="ER6"/>
      <c r="ET6"/>
      <c r="EV6"/>
      <c r="EX6"/>
      <c r="EZ6"/>
      <c r="FB6"/>
      <c r="FD6"/>
      <c r="FF6"/>
      <c r="FH6"/>
      <c r="FJ6"/>
      <c r="FL6"/>
      <c r="FN6"/>
      <c r="FP6"/>
      <c r="FR6"/>
      <c r="FT6"/>
      <c r="FV6"/>
      <c r="FX6"/>
      <c r="FZ6"/>
      <c r="GB6"/>
      <c r="GD6"/>
      <c r="GF6"/>
      <c r="GH6"/>
      <c r="GJ6"/>
      <c r="GL6"/>
      <c r="GN6"/>
      <c r="GP6"/>
      <c r="GR6"/>
      <c r="GT6"/>
      <c r="GV6"/>
      <c r="GX6"/>
      <c r="GZ6"/>
      <c r="HB6"/>
      <c r="HD6"/>
      <c r="HF6"/>
      <c r="HH6"/>
      <c r="HJ6"/>
      <c r="HL6"/>
      <c r="HN6"/>
      <c r="HP6"/>
      <c r="HR6"/>
      <c r="HT6"/>
      <c r="HV6"/>
      <c r="HX6"/>
      <c r="HZ6"/>
      <c r="IB6"/>
      <c r="ID6"/>
      <c r="IF6"/>
      <c r="IH6"/>
      <c r="IJ6"/>
      <c r="IL6"/>
      <c r="IN6"/>
      <c r="IP6"/>
      <c r="IR6"/>
      <c r="IT6"/>
      <c r="IV6"/>
      <c r="IX6"/>
      <c r="IZ6"/>
      <c r="JB6"/>
      <c r="JD6"/>
      <c r="JF6"/>
      <c r="JH6"/>
      <c r="JJ6"/>
      <c r="JL6"/>
      <c r="JN6"/>
      <c r="JP6"/>
      <c r="JR6"/>
      <c r="JT6"/>
      <c r="JV6"/>
      <c r="JX6"/>
      <c r="JZ6"/>
      <c r="KB6"/>
      <c r="KD6"/>
      <c r="KF6"/>
      <c r="KH6"/>
      <c r="KJ6"/>
      <c r="KL6"/>
      <c r="KN6"/>
      <c r="KP6"/>
      <c r="KR6"/>
      <c r="KT6"/>
      <c r="KV6"/>
      <c r="KX6"/>
      <c r="KZ6"/>
      <c r="LB6"/>
      <c r="LD6"/>
      <c r="LF6"/>
      <c r="LH6"/>
      <c r="LJ6"/>
      <c r="LL6"/>
      <c r="LN6"/>
      <c r="LP6"/>
      <c r="LR6"/>
      <c r="LT6"/>
      <c r="LV6"/>
      <c r="LX6"/>
      <c r="LZ6"/>
      <c r="MB6"/>
      <c r="MD6"/>
      <c r="MF6"/>
      <c r="MH6"/>
      <c r="MJ6"/>
      <c r="ML6"/>
      <c r="MN6"/>
      <c r="MP6"/>
      <c r="MR6"/>
      <c r="MT6"/>
      <c r="MV6"/>
      <c r="MX6"/>
      <c r="MZ6"/>
      <c r="NB6"/>
      <c r="ND6"/>
      <c r="NF6"/>
      <c r="NH6"/>
      <c r="NJ6"/>
      <c r="NL6"/>
      <c r="NN6"/>
      <c r="NP6"/>
      <c r="NR6"/>
      <c r="NT6"/>
      <c r="NV6"/>
      <c r="NX6"/>
      <c r="NZ6"/>
      <c r="OB6"/>
      <c r="OD6"/>
      <c r="OF6"/>
      <c r="OH6"/>
      <c r="OJ6"/>
      <c r="OL6"/>
      <c r="ON6"/>
      <c r="OP6"/>
      <c r="OR6"/>
      <c r="OT6"/>
      <c r="OV6"/>
      <c r="OX6"/>
      <c r="OZ6"/>
      <c r="PB6"/>
      <c r="PD6"/>
      <c r="PF6"/>
      <c r="PH6"/>
      <c r="PJ6"/>
      <c r="PL6"/>
      <c r="PN6"/>
      <c r="PP6"/>
      <c r="PR6"/>
      <c r="PT6"/>
      <c r="PV6"/>
      <c r="PX6"/>
      <c r="PZ6"/>
      <c r="QB6"/>
      <c r="QD6"/>
      <c r="QF6"/>
      <c r="QH6"/>
      <c r="QJ6"/>
      <c r="QL6"/>
      <c r="QN6"/>
      <c r="QP6"/>
      <c r="QR6"/>
      <c r="QT6"/>
      <c r="QV6"/>
      <c r="QX6"/>
      <c r="QZ6"/>
      <c r="RB6"/>
      <c r="RD6"/>
      <c r="RF6"/>
      <c r="RH6"/>
      <c r="RJ6"/>
      <c r="RL6"/>
      <c r="RN6"/>
      <c r="RP6"/>
      <c r="RR6"/>
      <c r="RT6"/>
      <c r="RV6"/>
      <c r="RX6"/>
      <c r="RZ6"/>
      <c r="SB6"/>
      <c r="SD6"/>
      <c r="SF6"/>
      <c r="SH6"/>
      <c r="SJ6"/>
      <c r="SL6"/>
      <c r="SN6"/>
      <c r="SP6"/>
      <c r="SR6"/>
      <c r="ST6"/>
      <c r="SV6"/>
      <c r="SX6"/>
      <c r="SZ6"/>
      <c r="TB6"/>
      <c r="TD6"/>
      <c r="TF6"/>
      <c r="TH6"/>
      <c r="TJ6"/>
      <c r="TL6"/>
      <c r="TN6"/>
      <c r="TP6"/>
      <c r="TR6"/>
      <c r="TT6"/>
      <c r="TV6"/>
      <c r="TX6"/>
      <c r="TZ6"/>
      <c r="UB6"/>
      <c r="UD6"/>
      <c r="UF6"/>
      <c r="UH6"/>
      <c r="UJ6"/>
      <c r="UL6"/>
      <c r="UN6"/>
      <c r="UP6"/>
      <c r="UR6"/>
      <c r="UT6"/>
      <c r="UV6"/>
      <c r="UX6"/>
      <c r="UZ6"/>
      <c r="VB6"/>
      <c r="VD6"/>
      <c r="VF6"/>
      <c r="VH6"/>
      <c r="VJ6"/>
      <c r="VL6"/>
      <c r="VN6"/>
      <c r="VP6"/>
      <c r="VR6"/>
      <c r="VT6"/>
      <c r="VV6"/>
      <c r="VX6"/>
      <c r="VZ6"/>
      <c r="WB6"/>
      <c r="WD6"/>
      <c r="WF6"/>
      <c r="WH6"/>
      <c r="WJ6"/>
      <c r="WL6"/>
      <c r="WN6"/>
      <c r="WP6"/>
      <c r="WR6"/>
      <c r="WT6"/>
      <c r="WV6"/>
      <c r="WX6"/>
      <c r="WZ6"/>
      <c r="XB6"/>
      <c r="XD6"/>
      <c r="XF6"/>
      <c r="XH6"/>
      <c r="XJ6"/>
      <c r="XL6"/>
      <c r="XN6"/>
      <c r="XP6"/>
      <c r="XR6"/>
      <c r="XT6"/>
      <c r="XV6"/>
      <c r="XX6"/>
      <c r="XZ6"/>
      <c r="YB6"/>
      <c r="YD6"/>
      <c r="YF6"/>
      <c r="YH6"/>
      <c r="YJ6"/>
      <c r="YL6"/>
      <c r="YN6"/>
      <c r="YP6"/>
      <c r="YR6"/>
      <c r="YT6"/>
      <c r="YV6"/>
      <c r="YX6"/>
      <c r="YZ6"/>
      <c r="ZB6"/>
      <c r="ZD6"/>
      <c r="ZF6"/>
      <c r="ZH6"/>
      <c r="ZJ6"/>
      <c r="ZL6"/>
      <c r="ZN6"/>
      <c r="ZP6"/>
      <c r="ZR6"/>
      <c r="ZT6"/>
      <c r="ZV6"/>
      <c r="ZX6"/>
      <c r="ZZ6"/>
      <c r="AAB6"/>
      <c r="AAD6"/>
      <c r="AAF6"/>
      <c r="AAH6"/>
      <c r="AAJ6"/>
      <c r="AAL6"/>
      <c r="AAN6"/>
      <c r="AAP6"/>
      <c r="AAR6"/>
      <c r="AAT6"/>
      <c r="AAV6"/>
      <c r="AAX6"/>
      <c r="AAZ6"/>
      <c r="ABB6"/>
      <c r="ABD6"/>
      <c r="ABF6"/>
      <c r="ABH6"/>
      <c r="ABJ6"/>
      <c r="ABL6"/>
      <c r="ABN6"/>
      <c r="ABP6"/>
      <c r="ABR6"/>
      <c r="ABT6"/>
      <c r="ABV6"/>
      <c r="ABX6"/>
      <c r="ABZ6"/>
      <c r="ACB6"/>
      <c r="ACD6"/>
      <c r="ACF6"/>
      <c r="ACH6"/>
      <c r="ACJ6"/>
      <c r="ACL6"/>
      <c r="ACN6"/>
      <c r="ACP6"/>
      <c r="ACR6"/>
      <c r="ACT6"/>
      <c r="ACV6"/>
      <c r="ACX6"/>
      <c r="ACZ6"/>
      <c r="ADB6"/>
      <c r="ADD6"/>
      <c r="ADF6"/>
      <c r="ADH6"/>
      <c r="ADJ6"/>
      <c r="ADL6"/>
      <c r="ADN6"/>
      <c r="ADP6"/>
      <c r="ADR6"/>
      <c r="ADT6"/>
      <c r="ADV6"/>
      <c r="ADX6"/>
      <c r="ADZ6"/>
      <c r="AEB6"/>
      <c r="AED6"/>
      <c r="AEF6"/>
      <c r="AEH6"/>
      <c r="AEJ6"/>
      <c r="AEL6"/>
      <c r="AEN6"/>
      <c r="AEP6"/>
      <c r="AER6"/>
      <c r="AET6"/>
      <c r="AEV6"/>
      <c r="AEX6"/>
      <c r="AEZ6"/>
      <c r="AFB6"/>
      <c r="AFD6"/>
      <c r="AFF6"/>
      <c r="AFH6"/>
      <c r="AFJ6"/>
      <c r="AFL6"/>
      <c r="AFN6"/>
      <c r="AFP6"/>
      <c r="AFR6"/>
      <c r="AFT6"/>
      <c r="AFV6"/>
      <c r="AFX6"/>
      <c r="AFZ6"/>
      <c r="AGB6"/>
      <c r="AGD6"/>
      <c r="AGF6"/>
      <c r="AGH6"/>
      <c r="AGJ6"/>
      <c r="AGL6"/>
      <c r="AGN6"/>
      <c r="AGP6"/>
      <c r="AGR6"/>
      <c r="AGT6"/>
      <c r="AGV6"/>
      <c r="AGX6"/>
      <c r="AGZ6"/>
      <c r="AHB6"/>
      <c r="AHD6"/>
      <c r="AHF6"/>
      <c r="AHH6"/>
      <c r="AHJ6"/>
      <c r="AHL6"/>
      <c r="AHN6"/>
      <c r="AHP6"/>
      <c r="AHR6"/>
      <c r="AHT6"/>
      <c r="AHV6"/>
      <c r="AHX6"/>
      <c r="AHZ6"/>
      <c r="AIB6"/>
      <c r="AID6"/>
      <c r="AIF6"/>
      <c r="AIH6"/>
      <c r="AIJ6"/>
      <c r="AIL6"/>
      <c r="AIN6"/>
      <c r="AIP6"/>
      <c r="AIR6"/>
      <c r="AIT6"/>
      <c r="AIV6"/>
      <c r="AIX6"/>
      <c r="AIZ6"/>
      <c r="AJB6"/>
      <c r="AJD6"/>
      <c r="AJF6"/>
      <c r="AJH6"/>
      <c r="AJJ6"/>
      <c r="AJL6"/>
      <c r="AJN6"/>
      <c r="AJP6"/>
      <c r="AJR6"/>
      <c r="AJT6"/>
      <c r="AJV6"/>
      <c r="AJX6"/>
      <c r="AJZ6"/>
      <c r="AKB6"/>
      <c r="AKD6"/>
      <c r="AKF6"/>
      <c r="AKH6"/>
      <c r="AKJ6"/>
      <c r="AKL6"/>
      <c r="AKN6"/>
      <c r="AKP6"/>
      <c r="AKR6"/>
      <c r="AKT6"/>
      <c r="AKV6"/>
      <c r="AKX6"/>
      <c r="AKZ6"/>
      <c r="ALB6"/>
      <c r="ALD6"/>
      <c r="ALF6"/>
      <c r="ALH6"/>
      <c r="ALJ6"/>
      <c r="ALL6"/>
      <c r="ALN6"/>
      <c r="ALP6"/>
      <c r="ALR6"/>
      <c r="ALT6"/>
      <c r="ALV6"/>
      <c r="ALX6"/>
      <c r="ALZ6"/>
      <c r="AMB6"/>
      <c r="AMD6"/>
      <c r="AMF6"/>
      <c r="AMH6"/>
      <c r="AMJ6"/>
      <c r="AML6"/>
      <c r="AMN6"/>
      <c r="AMP6"/>
      <c r="AMR6"/>
      <c r="AMT6"/>
      <c r="AMV6"/>
      <c r="AMX6"/>
      <c r="AMZ6"/>
      <c r="ANB6"/>
      <c r="AND6"/>
      <c r="ANF6"/>
      <c r="ANH6"/>
      <c r="ANJ6"/>
      <c r="ANL6"/>
      <c r="ANN6"/>
      <c r="ANP6"/>
      <c r="ANR6"/>
      <c r="ANT6"/>
      <c r="ANV6"/>
      <c r="ANX6"/>
      <c r="ANZ6"/>
      <c r="AOB6"/>
      <c r="AOD6"/>
      <c r="AOF6"/>
      <c r="AOH6"/>
      <c r="AOJ6"/>
      <c r="AOL6"/>
      <c r="AON6"/>
      <c r="AOP6"/>
      <c r="AOR6"/>
      <c r="AOT6"/>
      <c r="AOV6"/>
      <c r="AOX6"/>
      <c r="AOZ6"/>
      <c r="APB6"/>
      <c r="APD6"/>
      <c r="APF6"/>
      <c r="APH6"/>
      <c r="APJ6"/>
      <c r="APL6"/>
      <c r="APN6"/>
      <c r="APP6"/>
      <c r="APR6"/>
      <c r="APT6"/>
      <c r="APV6"/>
      <c r="APX6"/>
      <c r="APZ6"/>
      <c r="AQB6"/>
      <c r="AQD6"/>
      <c r="AQF6"/>
      <c r="AQH6"/>
      <c r="AQJ6"/>
      <c r="AQL6"/>
      <c r="AQN6"/>
      <c r="AQP6"/>
      <c r="AQR6"/>
      <c r="AQT6"/>
      <c r="AQV6"/>
      <c r="AQX6"/>
      <c r="AQZ6"/>
      <c r="ARB6"/>
      <c r="ARD6"/>
      <c r="ARF6"/>
      <c r="ARH6"/>
      <c r="ARJ6"/>
      <c r="ARL6"/>
      <c r="ARN6"/>
      <c r="ARP6"/>
      <c r="ARR6"/>
      <c r="ART6"/>
      <c r="ARV6"/>
      <c r="ARX6"/>
      <c r="ARZ6"/>
      <c r="ASB6"/>
      <c r="ASD6"/>
      <c r="ASF6"/>
      <c r="ASH6"/>
      <c r="ASJ6"/>
      <c r="ASL6"/>
      <c r="ASN6"/>
      <c r="ASP6"/>
      <c r="ASR6"/>
      <c r="AST6"/>
      <c r="ASV6"/>
      <c r="ASX6"/>
      <c r="ASZ6"/>
      <c r="ATB6"/>
      <c r="ATD6"/>
      <c r="ATF6"/>
      <c r="ATH6"/>
      <c r="ATJ6"/>
      <c r="ATL6"/>
      <c r="ATN6"/>
      <c r="ATP6"/>
      <c r="ATR6"/>
      <c r="ATT6"/>
      <c r="ATV6"/>
      <c r="ATX6"/>
      <c r="ATZ6"/>
      <c r="AUB6"/>
      <c r="AUD6"/>
      <c r="AUF6"/>
      <c r="AUH6"/>
      <c r="AUJ6"/>
      <c r="AUL6"/>
      <c r="AUN6"/>
      <c r="AUP6"/>
      <c r="AUR6"/>
      <c r="AUT6"/>
      <c r="AUV6"/>
      <c r="AUX6"/>
      <c r="AUZ6"/>
      <c r="AVB6"/>
      <c r="AVD6"/>
      <c r="AVF6"/>
      <c r="AVH6"/>
      <c r="AVJ6"/>
      <c r="AVL6"/>
      <c r="AVN6"/>
      <c r="AVP6"/>
      <c r="AVR6"/>
      <c r="AVT6"/>
      <c r="AVV6"/>
      <c r="AVX6"/>
      <c r="AVZ6"/>
      <c r="AWB6"/>
      <c r="AWD6"/>
      <c r="AWF6"/>
      <c r="AWH6"/>
      <c r="AWJ6"/>
      <c r="AWL6"/>
      <c r="AWN6"/>
      <c r="AWP6"/>
      <c r="AWR6"/>
      <c r="AWT6"/>
      <c r="AWV6"/>
      <c r="AWX6"/>
      <c r="AWZ6"/>
      <c r="AXB6"/>
      <c r="AXD6"/>
      <c r="AXF6"/>
      <c r="AXH6"/>
      <c r="AXJ6"/>
      <c r="AXL6"/>
      <c r="AXN6"/>
      <c r="AXP6"/>
      <c r="AXR6"/>
      <c r="AXT6"/>
      <c r="AXV6"/>
      <c r="AXX6"/>
      <c r="AXZ6"/>
      <c r="AYB6"/>
      <c r="AYD6"/>
      <c r="AYF6"/>
      <c r="AYH6"/>
      <c r="AYJ6"/>
      <c r="AYL6"/>
      <c r="AYN6"/>
      <c r="AYP6"/>
      <c r="AYR6"/>
      <c r="AYT6"/>
      <c r="AYV6"/>
      <c r="AYX6"/>
      <c r="AYZ6"/>
      <c r="AZB6"/>
      <c r="AZD6"/>
      <c r="AZF6"/>
      <c r="AZH6"/>
      <c r="AZJ6"/>
      <c r="AZL6"/>
      <c r="AZN6"/>
      <c r="AZP6"/>
      <c r="AZR6"/>
      <c r="AZT6"/>
      <c r="AZV6"/>
      <c r="AZX6"/>
      <c r="AZZ6"/>
      <c r="BAB6"/>
      <c r="BAD6"/>
      <c r="BAF6"/>
      <c r="BAH6"/>
      <c r="BAJ6"/>
      <c r="BAL6"/>
      <c r="BAN6"/>
      <c r="BAP6"/>
      <c r="BAR6"/>
      <c r="BAT6"/>
      <c r="BAV6"/>
      <c r="BAX6"/>
      <c r="BAZ6"/>
      <c r="BBB6"/>
      <c r="BBD6"/>
      <c r="BBF6"/>
      <c r="BBH6"/>
      <c r="BBJ6"/>
      <c r="BBL6"/>
      <c r="BBN6"/>
      <c r="BBP6"/>
      <c r="BBR6"/>
      <c r="BBT6"/>
      <c r="BBV6"/>
      <c r="BBX6"/>
      <c r="BBZ6"/>
      <c r="BCB6"/>
      <c r="BCD6"/>
      <c r="BCF6"/>
      <c r="BCH6"/>
      <c r="BCJ6"/>
      <c r="BCL6"/>
      <c r="BCN6"/>
      <c r="BCP6"/>
      <c r="BCR6"/>
      <c r="BCT6"/>
      <c r="BCV6"/>
      <c r="BCX6"/>
      <c r="BCZ6"/>
      <c r="BDB6"/>
      <c r="BDD6"/>
      <c r="BDF6"/>
      <c r="BDH6"/>
      <c r="BDJ6"/>
      <c r="BDL6"/>
      <c r="BDN6"/>
      <c r="BDP6"/>
      <c r="BDR6"/>
      <c r="BDT6"/>
      <c r="BDV6"/>
      <c r="BDX6"/>
      <c r="BDZ6"/>
      <c r="BEB6"/>
      <c r="BED6"/>
      <c r="BEF6"/>
      <c r="BEH6"/>
      <c r="BEJ6"/>
      <c r="BEL6"/>
      <c r="BEN6"/>
      <c r="BEP6"/>
      <c r="BER6"/>
      <c r="BET6"/>
      <c r="BEV6"/>
      <c r="BEX6"/>
      <c r="BEZ6"/>
      <c r="BFB6"/>
      <c r="BFD6"/>
      <c r="BFF6"/>
      <c r="BFH6"/>
      <c r="BFJ6"/>
      <c r="BFL6"/>
      <c r="BFN6"/>
      <c r="BFP6"/>
      <c r="BFR6"/>
      <c r="BFT6"/>
      <c r="BFV6"/>
      <c r="BFX6"/>
      <c r="BFZ6"/>
      <c r="BGB6"/>
      <c r="BGD6"/>
      <c r="BGF6"/>
      <c r="BGH6"/>
      <c r="BGJ6"/>
      <c r="BGL6"/>
      <c r="BGN6"/>
      <c r="BGP6"/>
      <c r="BGR6"/>
      <c r="BGT6"/>
      <c r="BGV6"/>
      <c r="BGX6"/>
      <c r="BGZ6"/>
      <c r="BHB6"/>
      <c r="BHD6"/>
      <c r="BHF6"/>
      <c r="BHH6"/>
      <c r="BHJ6"/>
      <c r="BHL6"/>
      <c r="BHN6"/>
      <c r="BHP6"/>
      <c r="BHR6"/>
      <c r="BHT6"/>
      <c r="BHV6"/>
      <c r="BHX6"/>
      <c r="BHZ6"/>
      <c r="BIB6"/>
      <c r="BID6"/>
      <c r="BIF6"/>
      <c r="BIH6"/>
      <c r="BIJ6"/>
      <c r="BIL6"/>
      <c r="BIN6"/>
      <c r="BIP6"/>
      <c r="BIR6"/>
      <c r="BIT6"/>
      <c r="BIV6"/>
      <c r="BIX6"/>
      <c r="BIZ6"/>
      <c r="BJB6"/>
      <c r="BJD6"/>
      <c r="BJF6"/>
      <c r="BJH6"/>
      <c r="BJJ6"/>
      <c r="BJL6"/>
      <c r="BJN6"/>
      <c r="BJP6"/>
      <c r="BJR6"/>
      <c r="BJT6"/>
      <c r="BJV6"/>
      <c r="BJX6"/>
      <c r="BJZ6"/>
      <c r="BKB6"/>
      <c r="BKD6"/>
      <c r="BKF6"/>
      <c r="BKH6"/>
      <c r="BKJ6"/>
      <c r="BKL6"/>
      <c r="BKN6"/>
      <c r="BKP6"/>
      <c r="BKR6"/>
      <c r="BKT6"/>
      <c r="BKV6"/>
      <c r="BKX6"/>
      <c r="BKZ6"/>
      <c r="BLB6"/>
      <c r="BLD6"/>
      <c r="BLF6"/>
      <c r="BLH6"/>
      <c r="BLJ6"/>
      <c r="BLL6"/>
      <c r="BLN6"/>
      <c r="BLP6"/>
      <c r="BLR6"/>
      <c r="BLT6"/>
      <c r="BLV6"/>
      <c r="BLX6"/>
      <c r="BLZ6"/>
      <c r="BMB6"/>
      <c r="BMD6"/>
      <c r="BMF6"/>
      <c r="BMH6"/>
      <c r="BMJ6"/>
      <c r="BML6"/>
      <c r="BMN6"/>
      <c r="BMP6"/>
      <c r="BMR6"/>
      <c r="BMT6"/>
      <c r="BMV6"/>
      <c r="BMX6"/>
      <c r="BMZ6"/>
      <c r="BNB6"/>
      <c r="BND6"/>
      <c r="BNF6"/>
      <c r="BNH6"/>
      <c r="BNJ6"/>
      <c r="BNL6"/>
      <c r="BNN6"/>
      <c r="BNP6"/>
      <c r="BNR6"/>
      <c r="BNT6"/>
      <c r="BNV6"/>
      <c r="BNX6"/>
      <c r="BNZ6"/>
      <c r="BOB6"/>
      <c r="BOD6"/>
      <c r="BOF6"/>
      <c r="BOH6"/>
      <c r="BOJ6"/>
      <c r="BOL6"/>
      <c r="BON6"/>
      <c r="BOP6"/>
      <c r="BOR6"/>
      <c r="BOT6"/>
      <c r="BOV6"/>
      <c r="BOX6"/>
      <c r="BOZ6"/>
      <c r="BPB6"/>
      <c r="BPD6"/>
      <c r="BPF6"/>
      <c r="BPH6"/>
      <c r="BPJ6"/>
      <c r="BPL6"/>
      <c r="BPN6"/>
      <c r="BPP6"/>
      <c r="BPR6"/>
      <c r="BPT6"/>
      <c r="BPV6"/>
      <c r="BPX6"/>
      <c r="BPZ6"/>
      <c r="BQB6"/>
      <c r="BQD6"/>
      <c r="BQF6"/>
      <c r="BQH6"/>
      <c r="BQJ6"/>
      <c r="BQL6"/>
      <c r="BQN6"/>
      <c r="BQP6"/>
      <c r="BQR6"/>
      <c r="BQT6"/>
      <c r="BQV6"/>
      <c r="BQX6"/>
      <c r="BQZ6"/>
      <c r="BRB6"/>
      <c r="BRD6"/>
      <c r="BRF6"/>
      <c r="BRH6"/>
      <c r="BRJ6"/>
      <c r="BRL6"/>
      <c r="BRN6"/>
      <c r="BRP6"/>
      <c r="BRR6"/>
      <c r="BRT6"/>
      <c r="BRV6"/>
      <c r="BRX6"/>
      <c r="BRZ6"/>
      <c r="BSB6"/>
      <c r="BSD6"/>
      <c r="BSF6"/>
      <c r="BSH6"/>
      <c r="BSJ6"/>
      <c r="BSL6"/>
      <c r="BSN6"/>
      <c r="BSP6"/>
      <c r="BSR6"/>
      <c r="BST6"/>
      <c r="BSV6"/>
      <c r="BSX6"/>
      <c r="BSZ6"/>
      <c r="BTB6"/>
      <c r="BTD6"/>
      <c r="BTF6"/>
      <c r="BTH6"/>
      <c r="BTJ6"/>
      <c r="BTL6"/>
      <c r="BTN6"/>
      <c r="BTP6"/>
      <c r="BTR6"/>
      <c r="BTT6"/>
      <c r="BTV6"/>
      <c r="BTX6"/>
      <c r="BTZ6"/>
      <c r="BUB6"/>
      <c r="BUD6"/>
      <c r="BUF6"/>
      <c r="BUH6"/>
      <c r="BUJ6"/>
      <c r="BUL6"/>
      <c r="BUN6"/>
      <c r="BUP6"/>
      <c r="BUR6"/>
      <c r="BUT6"/>
      <c r="BUV6"/>
      <c r="BUX6"/>
      <c r="BUZ6"/>
      <c r="BVB6"/>
      <c r="BVD6"/>
      <c r="BVF6"/>
      <c r="BVH6"/>
      <c r="BVJ6"/>
      <c r="BVL6"/>
      <c r="BVN6"/>
      <c r="BVP6"/>
      <c r="BVR6"/>
      <c r="BVT6"/>
      <c r="BVV6"/>
      <c r="BVX6"/>
      <c r="BVZ6"/>
      <c r="BWB6"/>
      <c r="BWD6"/>
      <c r="BWF6"/>
      <c r="BWH6"/>
      <c r="BWJ6"/>
      <c r="BWL6"/>
      <c r="BWN6"/>
      <c r="BWP6"/>
      <c r="BWR6"/>
      <c r="BWT6"/>
      <c r="BWV6"/>
      <c r="BWX6"/>
      <c r="BWZ6"/>
      <c r="BXB6"/>
      <c r="BXD6"/>
      <c r="BXF6"/>
      <c r="BXH6"/>
      <c r="BXJ6"/>
      <c r="BXL6"/>
      <c r="BXN6"/>
      <c r="BXP6"/>
      <c r="BXR6"/>
      <c r="BXT6"/>
      <c r="BXV6"/>
      <c r="BXX6"/>
      <c r="BXZ6"/>
      <c r="BYB6"/>
      <c r="BYD6"/>
      <c r="BYF6"/>
      <c r="BYH6"/>
      <c r="BYJ6"/>
      <c r="BYL6"/>
      <c r="BYN6"/>
      <c r="BYP6"/>
      <c r="BYR6"/>
      <c r="BYT6"/>
      <c r="BYV6"/>
      <c r="BYX6"/>
      <c r="BYZ6"/>
      <c r="BZB6"/>
      <c r="BZD6"/>
      <c r="BZF6"/>
      <c r="BZH6"/>
      <c r="BZJ6"/>
      <c r="BZL6"/>
      <c r="BZN6"/>
      <c r="BZP6"/>
      <c r="BZR6"/>
      <c r="BZT6"/>
      <c r="BZV6"/>
      <c r="BZX6"/>
      <c r="BZZ6"/>
      <c r="CAB6"/>
      <c r="CAD6"/>
      <c r="CAF6"/>
      <c r="CAH6"/>
      <c r="CAJ6"/>
      <c r="CAL6"/>
      <c r="CAN6"/>
      <c r="CAP6"/>
      <c r="CAR6"/>
      <c r="CAT6"/>
      <c r="CAV6"/>
      <c r="CAX6"/>
      <c r="CAZ6"/>
      <c r="CBB6"/>
      <c r="CBD6"/>
      <c r="CBF6"/>
      <c r="CBH6"/>
      <c r="CBJ6"/>
      <c r="CBL6"/>
      <c r="CBN6"/>
      <c r="CBP6"/>
      <c r="CBR6"/>
      <c r="CBT6"/>
      <c r="CBV6"/>
      <c r="CBX6"/>
      <c r="CBZ6"/>
      <c r="CCB6"/>
      <c r="CCD6"/>
      <c r="CCF6"/>
      <c r="CCH6"/>
      <c r="CCJ6"/>
      <c r="CCL6"/>
      <c r="CCN6"/>
      <c r="CCP6"/>
      <c r="CCR6"/>
      <c r="CCT6"/>
      <c r="CCV6"/>
      <c r="CCX6"/>
      <c r="CCZ6"/>
      <c r="CDB6"/>
      <c r="CDD6"/>
      <c r="CDF6"/>
      <c r="CDH6"/>
      <c r="CDJ6"/>
      <c r="CDL6"/>
      <c r="CDN6"/>
      <c r="CDP6"/>
      <c r="CDR6"/>
      <c r="CDT6"/>
      <c r="CDV6"/>
      <c r="CDX6"/>
      <c r="CDZ6"/>
      <c r="CEB6"/>
      <c r="CED6"/>
      <c r="CEF6"/>
      <c r="CEH6"/>
      <c r="CEJ6"/>
      <c r="CEL6"/>
      <c r="CEN6"/>
      <c r="CEP6"/>
      <c r="CER6"/>
      <c r="CET6"/>
      <c r="CEV6"/>
      <c r="CEX6"/>
      <c r="CEZ6"/>
      <c r="CFB6"/>
      <c r="CFD6"/>
      <c r="CFF6"/>
      <c r="CFH6"/>
      <c r="CFJ6"/>
      <c r="CFL6"/>
      <c r="CFN6"/>
      <c r="CFP6"/>
      <c r="CFR6"/>
      <c r="CFT6"/>
      <c r="CFV6"/>
      <c r="CFX6"/>
      <c r="CFZ6"/>
      <c r="CGB6"/>
      <c r="CGD6"/>
      <c r="CGF6"/>
      <c r="CGH6"/>
      <c r="CGJ6"/>
      <c r="CGL6"/>
      <c r="CGN6"/>
      <c r="CGP6"/>
      <c r="CGR6"/>
      <c r="CGT6"/>
      <c r="CGV6"/>
      <c r="CGX6"/>
      <c r="CGZ6"/>
      <c r="CHB6"/>
      <c r="CHD6"/>
      <c r="CHF6"/>
      <c r="CHH6"/>
      <c r="CHJ6"/>
      <c r="CHL6"/>
      <c r="CHN6"/>
      <c r="CHP6"/>
      <c r="CHR6"/>
      <c r="CHT6"/>
      <c r="CHV6"/>
      <c r="CHX6"/>
      <c r="CHZ6"/>
      <c r="CIB6"/>
      <c r="CID6"/>
      <c r="CIF6"/>
      <c r="CIH6"/>
      <c r="CIJ6"/>
      <c r="CIL6"/>
      <c r="CIN6"/>
      <c r="CIP6"/>
      <c r="CIR6"/>
      <c r="CIT6"/>
      <c r="CIV6"/>
      <c r="CIX6"/>
      <c r="CIZ6"/>
      <c r="CJB6"/>
      <c r="CJD6"/>
      <c r="CJF6"/>
      <c r="CJH6"/>
      <c r="CJJ6"/>
      <c r="CJL6"/>
      <c r="CJN6"/>
      <c r="CJP6"/>
      <c r="CJR6"/>
      <c r="CJT6"/>
      <c r="CJV6"/>
      <c r="CJX6"/>
      <c r="CJZ6"/>
      <c r="CKB6"/>
      <c r="CKD6"/>
      <c r="CKF6"/>
      <c r="CKH6"/>
      <c r="CKJ6"/>
      <c r="CKL6"/>
      <c r="CKN6"/>
      <c r="CKP6"/>
      <c r="CKR6"/>
      <c r="CKT6"/>
      <c r="CKV6"/>
      <c r="CKX6"/>
      <c r="CKZ6"/>
      <c r="CLB6"/>
      <c r="CLD6"/>
      <c r="CLF6"/>
      <c r="CLH6"/>
      <c r="CLJ6"/>
      <c r="CLL6"/>
      <c r="CLN6"/>
      <c r="CLP6"/>
      <c r="CLR6"/>
      <c r="CLT6"/>
      <c r="CLV6"/>
      <c r="CLX6"/>
      <c r="CLZ6"/>
      <c r="CMB6"/>
      <c r="CMD6"/>
      <c r="CMF6"/>
      <c r="CMH6"/>
      <c r="CMJ6"/>
      <c r="CML6"/>
      <c r="CMN6"/>
      <c r="CMP6"/>
      <c r="CMR6"/>
      <c r="CMT6"/>
      <c r="CMV6"/>
      <c r="CMX6"/>
      <c r="CMZ6"/>
      <c r="CNB6"/>
      <c r="CND6"/>
      <c r="CNF6"/>
      <c r="CNH6"/>
      <c r="CNJ6"/>
      <c r="CNL6"/>
      <c r="CNN6"/>
      <c r="CNP6"/>
      <c r="CNR6"/>
      <c r="CNT6"/>
      <c r="CNV6"/>
      <c r="CNX6"/>
      <c r="CNZ6"/>
      <c r="COB6"/>
      <c r="COD6"/>
      <c r="COF6"/>
      <c r="COH6"/>
      <c r="COJ6"/>
      <c r="COL6"/>
      <c r="CON6"/>
      <c r="COP6"/>
      <c r="COR6"/>
      <c r="COT6"/>
      <c r="COV6"/>
      <c r="COX6"/>
      <c r="COZ6"/>
      <c r="CPB6"/>
      <c r="CPD6"/>
      <c r="CPF6"/>
      <c r="CPH6"/>
      <c r="CPJ6"/>
      <c r="CPL6"/>
      <c r="CPN6"/>
      <c r="CPP6"/>
      <c r="CPR6"/>
      <c r="CPT6"/>
      <c r="CPV6"/>
      <c r="CPX6"/>
      <c r="CPZ6"/>
      <c r="CQB6"/>
      <c r="CQD6"/>
      <c r="CQF6"/>
      <c r="CQH6"/>
      <c r="CQJ6"/>
      <c r="CQL6"/>
      <c r="CQN6"/>
      <c r="CQP6"/>
      <c r="CQR6"/>
      <c r="CQT6"/>
      <c r="CQV6"/>
      <c r="CQX6"/>
      <c r="CQZ6"/>
      <c r="CRB6"/>
      <c r="CRD6"/>
      <c r="CRF6"/>
      <c r="CRH6"/>
      <c r="CRJ6"/>
      <c r="CRL6"/>
      <c r="CRN6"/>
      <c r="CRP6"/>
      <c r="CRR6"/>
      <c r="CRT6"/>
      <c r="CRV6"/>
      <c r="CRX6"/>
      <c r="CRZ6"/>
      <c r="CSB6"/>
      <c r="CSD6"/>
      <c r="CSF6"/>
      <c r="CSH6"/>
      <c r="CSJ6"/>
      <c r="CSL6"/>
      <c r="CSN6"/>
      <c r="CSP6"/>
      <c r="CSR6"/>
      <c r="CST6"/>
      <c r="CSV6"/>
      <c r="CSX6"/>
      <c r="CSZ6"/>
      <c r="CTB6"/>
      <c r="CTD6"/>
      <c r="CTF6"/>
      <c r="CTH6"/>
      <c r="CTJ6"/>
      <c r="CTL6"/>
      <c r="CTN6"/>
      <c r="CTP6"/>
      <c r="CTR6"/>
      <c r="CTT6"/>
      <c r="CTV6"/>
      <c r="CTX6"/>
      <c r="CTZ6"/>
      <c r="CUB6"/>
      <c r="CUD6"/>
      <c r="CUF6"/>
      <c r="CUH6"/>
      <c r="CUJ6"/>
      <c r="CUL6"/>
      <c r="CUN6"/>
      <c r="CUP6"/>
      <c r="CUR6"/>
      <c r="CUT6"/>
      <c r="CUV6"/>
      <c r="CUX6"/>
      <c r="CUZ6"/>
      <c r="CVB6"/>
      <c r="CVD6"/>
      <c r="CVF6"/>
      <c r="CVH6"/>
      <c r="CVJ6"/>
      <c r="CVL6"/>
      <c r="CVN6"/>
      <c r="CVP6"/>
      <c r="CVR6"/>
      <c r="CVT6"/>
      <c r="CVV6"/>
      <c r="CVX6"/>
      <c r="CVZ6"/>
      <c r="CWB6"/>
      <c r="CWD6"/>
      <c r="CWF6"/>
      <c r="CWH6"/>
      <c r="CWJ6"/>
      <c r="CWL6"/>
      <c r="CWN6"/>
      <c r="CWP6"/>
      <c r="CWR6"/>
      <c r="CWT6"/>
      <c r="CWV6"/>
      <c r="CWX6"/>
      <c r="CWZ6"/>
      <c r="CXB6"/>
      <c r="CXD6"/>
      <c r="CXF6"/>
      <c r="CXH6"/>
      <c r="CXJ6"/>
      <c r="CXL6"/>
      <c r="CXN6"/>
      <c r="CXP6"/>
      <c r="CXR6"/>
      <c r="CXT6"/>
      <c r="CXV6"/>
      <c r="CXX6"/>
      <c r="CXZ6"/>
      <c r="CYB6"/>
      <c r="CYD6"/>
      <c r="CYF6"/>
      <c r="CYH6"/>
      <c r="CYJ6"/>
      <c r="CYL6"/>
      <c r="CYN6"/>
      <c r="CYP6"/>
      <c r="CYR6"/>
      <c r="CYT6"/>
      <c r="CYV6"/>
      <c r="CYX6"/>
      <c r="CYZ6"/>
      <c r="CZB6"/>
      <c r="CZD6"/>
      <c r="CZF6"/>
      <c r="CZH6"/>
      <c r="CZJ6"/>
      <c r="CZL6"/>
      <c r="CZN6"/>
      <c r="CZP6"/>
      <c r="CZR6"/>
      <c r="CZT6"/>
      <c r="CZV6"/>
      <c r="CZX6"/>
      <c r="CZZ6"/>
      <c r="DAB6"/>
      <c r="DAD6"/>
      <c r="DAF6"/>
      <c r="DAH6"/>
      <c r="DAJ6"/>
      <c r="DAL6"/>
      <c r="DAN6"/>
      <c r="DAP6"/>
      <c r="DAR6"/>
      <c r="DAT6"/>
      <c r="DAV6"/>
      <c r="DAX6"/>
      <c r="DAZ6"/>
      <c r="DBB6"/>
      <c r="DBD6"/>
      <c r="DBF6"/>
      <c r="DBH6"/>
      <c r="DBJ6"/>
      <c r="DBL6"/>
      <c r="DBN6"/>
      <c r="DBP6"/>
      <c r="DBR6"/>
      <c r="DBT6"/>
      <c r="DBV6"/>
      <c r="DBX6"/>
      <c r="DBZ6"/>
      <c r="DCB6"/>
      <c r="DCD6"/>
      <c r="DCF6"/>
      <c r="DCH6"/>
      <c r="DCJ6"/>
      <c r="DCL6"/>
      <c r="DCN6"/>
      <c r="DCP6"/>
      <c r="DCR6"/>
      <c r="DCT6"/>
      <c r="DCV6"/>
      <c r="DCX6"/>
      <c r="DCZ6"/>
      <c r="DDB6"/>
      <c r="DDD6"/>
      <c r="DDF6"/>
      <c r="DDH6"/>
      <c r="DDJ6"/>
      <c r="DDL6"/>
      <c r="DDN6"/>
      <c r="DDP6"/>
      <c r="DDR6"/>
      <c r="DDT6"/>
      <c r="DDV6"/>
      <c r="DDX6"/>
      <c r="DDZ6"/>
      <c r="DEB6"/>
      <c r="DED6"/>
      <c r="DEF6"/>
      <c r="DEH6"/>
      <c r="DEJ6"/>
      <c r="DEL6"/>
      <c r="DEN6"/>
      <c r="DEP6"/>
      <c r="DER6"/>
      <c r="DET6"/>
      <c r="DEV6"/>
      <c r="DEX6"/>
      <c r="DEZ6"/>
      <c r="DFB6"/>
      <c r="DFD6"/>
      <c r="DFF6"/>
      <c r="DFH6"/>
      <c r="DFJ6"/>
      <c r="DFL6"/>
      <c r="DFN6"/>
      <c r="DFP6"/>
      <c r="DFR6"/>
      <c r="DFT6"/>
      <c r="DFV6"/>
      <c r="DFX6"/>
      <c r="DFZ6"/>
      <c r="DGB6"/>
      <c r="DGD6"/>
      <c r="DGF6"/>
      <c r="DGH6"/>
      <c r="DGJ6"/>
      <c r="DGL6"/>
      <c r="DGN6"/>
      <c r="DGP6"/>
      <c r="DGR6"/>
      <c r="DGT6"/>
      <c r="DGV6"/>
      <c r="DGX6"/>
      <c r="DGZ6"/>
      <c r="DHB6"/>
      <c r="DHD6"/>
      <c r="DHF6"/>
      <c r="DHH6"/>
      <c r="DHJ6"/>
      <c r="DHL6"/>
      <c r="DHN6"/>
      <c r="DHP6"/>
      <c r="DHR6"/>
      <c r="DHT6"/>
      <c r="DHV6"/>
      <c r="DHX6"/>
      <c r="DHZ6"/>
      <c r="DIB6"/>
      <c r="DID6"/>
      <c r="DIF6"/>
      <c r="DIH6"/>
      <c r="DIJ6"/>
      <c r="DIL6"/>
      <c r="DIN6"/>
      <c r="DIP6"/>
      <c r="DIR6"/>
      <c r="DIT6"/>
      <c r="DIV6"/>
      <c r="DIX6"/>
      <c r="DIZ6"/>
      <c r="DJB6"/>
      <c r="DJD6"/>
      <c r="DJF6"/>
      <c r="DJH6"/>
      <c r="DJJ6"/>
      <c r="DJL6"/>
      <c r="DJN6"/>
      <c r="DJP6"/>
      <c r="DJR6"/>
      <c r="DJT6"/>
      <c r="DJV6"/>
      <c r="DJX6"/>
      <c r="DJZ6"/>
      <c r="DKB6"/>
      <c r="DKD6"/>
      <c r="DKF6"/>
      <c r="DKH6"/>
      <c r="DKJ6"/>
      <c r="DKL6"/>
      <c r="DKN6"/>
      <c r="DKP6"/>
      <c r="DKR6"/>
      <c r="DKT6"/>
      <c r="DKV6"/>
      <c r="DKX6"/>
      <c r="DKZ6"/>
      <c r="DLB6"/>
      <c r="DLD6"/>
      <c r="DLF6"/>
      <c r="DLH6"/>
      <c r="DLJ6"/>
      <c r="DLL6"/>
      <c r="DLN6"/>
      <c r="DLP6"/>
      <c r="DLR6"/>
      <c r="DLT6"/>
      <c r="DLV6"/>
      <c r="DLX6"/>
      <c r="DLZ6"/>
      <c r="DMB6"/>
      <c r="DMD6"/>
      <c r="DMF6"/>
      <c r="DMH6"/>
      <c r="DMJ6"/>
      <c r="DML6"/>
      <c r="DMN6"/>
      <c r="DMP6"/>
      <c r="DMR6"/>
      <c r="DMT6"/>
      <c r="DMV6"/>
      <c r="DMX6"/>
      <c r="DMZ6"/>
      <c r="DNB6"/>
      <c r="DND6"/>
      <c r="DNF6"/>
      <c r="DNH6"/>
      <c r="DNJ6"/>
      <c r="DNL6"/>
      <c r="DNN6"/>
      <c r="DNP6"/>
      <c r="DNR6"/>
      <c r="DNT6"/>
      <c r="DNV6"/>
      <c r="DNX6"/>
      <c r="DNZ6"/>
      <c r="DOB6"/>
      <c r="DOD6"/>
      <c r="DOF6"/>
      <c r="DOH6"/>
      <c r="DOJ6"/>
      <c r="DOL6"/>
      <c r="DON6"/>
      <c r="DOP6"/>
      <c r="DOR6"/>
      <c r="DOT6"/>
      <c r="DOV6"/>
      <c r="DOX6"/>
      <c r="DOZ6"/>
      <c r="DPB6"/>
      <c r="DPD6"/>
      <c r="DPF6"/>
      <c r="DPH6"/>
      <c r="DPJ6"/>
      <c r="DPL6"/>
      <c r="DPN6"/>
      <c r="DPP6"/>
      <c r="DPR6"/>
      <c r="DPT6"/>
      <c r="DPV6"/>
      <c r="DPX6"/>
      <c r="DPZ6"/>
      <c r="DQB6"/>
      <c r="DQD6"/>
      <c r="DQF6"/>
      <c r="DQH6"/>
      <c r="DQJ6"/>
      <c r="DQL6"/>
      <c r="DQN6"/>
      <c r="DQP6"/>
      <c r="DQR6"/>
      <c r="DQT6"/>
      <c r="DQV6"/>
      <c r="DQX6"/>
      <c r="DQZ6"/>
      <c r="DRB6"/>
      <c r="DRD6"/>
      <c r="DRF6"/>
      <c r="DRH6"/>
      <c r="DRJ6"/>
      <c r="DRL6"/>
      <c r="DRN6"/>
      <c r="DRP6"/>
      <c r="DRR6"/>
      <c r="DRT6"/>
      <c r="DRV6"/>
      <c r="DRX6"/>
      <c r="DRZ6"/>
      <c r="DSB6"/>
      <c r="DSD6"/>
      <c r="DSF6"/>
      <c r="DSH6"/>
      <c r="DSJ6"/>
      <c r="DSL6"/>
      <c r="DSN6"/>
      <c r="DSP6"/>
      <c r="DSR6"/>
      <c r="DST6"/>
      <c r="DSV6"/>
      <c r="DSX6"/>
      <c r="DSZ6"/>
      <c r="DTB6"/>
      <c r="DTD6"/>
      <c r="DTF6"/>
      <c r="DTH6"/>
      <c r="DTJ6"/>
      <c r="DTL6"/>
      <c r="DTN6"/>
      <c r="DTP6"/>
      <c r="DTR6"/>
      <c r="DTT6"/>
      <c r="DTV6"/>
      <c r="DTX6"/>
      <c r="DTZ6"/>
      <c r="DUB6"/>
      <c r="DUD6"/>
      <c r="DUF6"/>
      <c r="DUH6"/>
      <c r="DUJ6"/>
      <c r="DUL6"/>
      <c r="DUN6"/>
      <c r="DUP6"/>
      <c r="DUR6"/>
      <c r="DUT6"/>
      <c r="DUV6"/>
      <c r="DUX6"/>
      <c r="DUZ6"/>
      <c r="DVB6"/>
      <c r="DVD6"/>
      <c r="DVF6"/>
      <c r="DVH6"/>
      <c r="DVJ6"/>
      <c r="DVL6"/>
      <c r="DVN6"/>
      <c r="DVP6"/>
      <c r="DVR6"/>
      <c r="DVT6"/>
      <c r="DVV6"/>
      <c r="DVX6"/>
      <c r="DVZ6"/>
      <c r="DWB6"/>
      <c r="DWD6"/>
      <c r="DWF6"/>
      <c r="DWH6"/>
      <c r="DWJ6"/>
      <c r="DWL6"/>
      <c r="DWN6"/>
      <c r="DWP6"/>
      <c r="DWR6"/>
      <c r="DWT6"/>
      <c r="DWV6"/>
      <c r="DWX6"/>
      <c r="DWZ6"/>
      <c r="DXB6"/>
      <c r="DXD6"/>
      <c r="DXF6"/>
      <c r="DXH6"/>
      <c r="DXJ6"/>
      <c r="DXL6"/>
      <c r="DXN6"/>
      <c r="DXP6"/>
      <c r="DXR6"/>
      <c r="DXT6"/>
      <c r="DXV6"/>
      <c r="DXX6"/>
      <c r="DXZ6"/>
      <c r="DYB6"/>
      <c r="DYD6"/>
      <c r="DYF6"/>
      <c r="DYH6"/>
      <c r="DYJ6"/>
      <c r="DYL6"/>
      <c r="DYN6"/>
      <c r="DYP6"/>
      <c r="DYR6"/>
      <c r="DYT6"/>
      <c r="DYV6"/>
      <c r="DYX6"/>
      <c r="DYZ6"/>
      <c r="DZB6"/>
      <c r="DZD6"/>
      <c r="DZF6"/>
      <c r="DZH6"/>
      <c r="DZJ6"/>
      <c r="DZL6"/>
      <c r="DZN6"/>
      <c r="DZP6"/>
      <c r="DZR6"/>
      <c r="DZT6"/>
      <c r="DZV6"/>
      <c r="DZX6"/>
      <c r="DZZ6"/>
      <c r="EAB6"/>
      <c r="EAD6"/>
      <c r="EAF6"/>
      <c r="EAH6"/>
      <c r="EAJ6"/>
      <c r="EAL6"/>
      <c r="EAN6"/>
      <c r="EAP6"/>
      <c r="EAR6"/>
      <c r="EAT6"/>
      <c r="EAV6"/>
      <c r="EAX6"/>
      <c r="EAZ6"/>
      <c r="EBB6"/>
      <c r="EBD6"/>
      <c r="EBF6"/>
      <c r="EBH6"/>
      <c r="EBJ6"/>
      <c r="EBL6"/>
      <c r="EBN6"/>
      <c r="EBP6"/>
      <c r="EBR6"/>
      <c r="EBT6"/>
      <c r="EBV6"/>
      <c r="EBX6"/>
      <c r="EBZ6"/>
      <c r="ECB6"/>
      <c r="ECD6"/>
      <c r="ECF6"/>
      <c r="ECH6"/>
      <c r="ECJ6"/>
      <c r="ECL6"/>
      <c r="ECN6"/>
      <c r="ECP6"/>
      <c r="ECR6"/>
      <c r="ECT6"/>
      <c r="ECV6"/>
      <c r="ECX6"/>
      <c r="ECZ6"/>
      <c r="EDB6"/>
      <c r="EDD6"/>
      <c r="EDF6"/>
      <c r="EDH6"/>
      <c r="EDJ6"/>
      <c r="EDL6"/>
      <c r="EDN6"/>
      <c r="EDP6"/>
      <c r="EDR6"/>
      <c r="EDT6"/>
      <c r="EDV6"/>
      <c r="EDX6"/>
      <c r="EDZ6"/>
      <c r="EEB6"/>
      <c r="EED6"/>
      <c r="EEF6"/>
      <c r="EEH6"/>
      <c r="EEJ6"/>
      <c r="EEL6"/>
      <c r="EEN6"/>
      <c r="EEP6"/>
      <c r="EER6"/>
      <c r="EET6"/>
      <c r="EEV6"/>
      <c r="EEX6"/>
      <c r="EEZ6"/>
      <c r="EFB6"/>
      <c r="EFD6"/>
      <c r="EFF6"/>
      <c r="EFH6"/>
      <c r="EFJ6"/>
      <c r="EFL6"/>
      <c r="EFN6"/>
      <c r="EFP6"/>
      <c r="EFR6"/>
      <c r="EFT6"/>
      <c r="EFV6"/>
      <c r="EFX6"/>
      <c r="EFZ6"/>
      <c r="EGB6"/>
      <c r="EGD6"/>
      <c r="EGF6"/>
      <c r="EGH6"/>
      <c r="EGJ6"/>
      <c r="EGL6"/>
      <c r="EGN6"/>
      <c r="EGP6"/>
      <c r="EGR6"/>
      <c r="EGT6"/>
      <c r="EGV6"/>
      <c r="EGX6"/>
      <c r="EGZ6"/>
      <c r="EHB6"/>
      <c r="EHD6"/>
      <c r="EHF6"/>
      <c r="EHH6"/>
      <c r="EHJ6"/>
      <c r="EHL6"/>
      <c r="EHN6"/>
      <c r="EHP6"/>
      <c r="EHR6"/>
      <c r="EHT6"/>
      <c r="EHV6"/>
      <c r="EHX6"/>
      <c r="EHZ6"/>
      <c r="EIB6"/>
      <c r="EID6"/>
      <c r="EIF6"/>
      <c r="EIH6"/>
      <c r="EIJ6"/>
      <c r="EIL6"/>
      <c r="EIN6"/>
      <c r="EIP6"/>
      <c r="EIR6"/>
      <c r="EIT6"/>
      <c r="EIV6"/>
      <c r="EIX6"/>
      <c r="EIZ6"/>
      <c r="EJB6"/>
      <c r="EJD6"/>
      <c r="EJF6"/>
      <c r="EJH6"/>
      <c r="EJJ6"/>
      <c r="EJL6"/>
      <c r="EJN6"/>
      <c r="EJP6"/>
      <c r="EJR6"/>
      <c r="EJT6"/>
      <c r="EJV6"/>
      <c r="EJX6"/>
      <c r="EJZ6"/>
      <c r="EKB6"/>
      <c r="EKD6"/>
      <c r="EKF6"/>
      <c r="EKH6"/>
      <c r="EKJ6"/>
      <c r="EKL6"/>
      <c r="EKN6"/>
      <c r="EKP6"/>
      <c r="EKR6"/>
      <c r="EKT6"/>
      <c r="EKV6"/>
      <c r="EKX6"/>
      <c r="EKZ6"/>
      <c r="ELB6"/>
      <c r="ELD6"/>
      <c r="ELF6"/>
      <c r="ELH6"/>
      <c r="ELJ6"/>
      <c r="ELL6"/>
      <c r="ELN6"/>
      <c r="ELP6"/>
      <c r="ELR6"/>
      <c r="ELT6"/>
      <c r="ELV6"/>
      <c r="ELX6"/>
      <c r="ELZ6"/>
      <c r="EMB6"/>
      <c r="EMD6"/>
      <c r="EMF6"/>
      <c r="EMH6"/>
      <c r="EMJ6"/>
      <c r="EML6"/>
      <c r="EMN6"/>
      <c r="EMP6"/>
      <c r="EMR6"/>
      <c r="EMT6"/>
      <c r="EMV6"/>
      <c r="EMX6"/>
      <c r="EMZ6"/>
      <c r="ENB6"/>
      <c r="END6"/>
      <c r="ENF6"/>
      <c r="ENH6"/>
      <c r="ENJ6"/>
      <c r="ENL6"/>
      <c r="ENN6"/>
      <c r="ENP6"/>
      <c r="ENR6"/>
      <c r="ENT6"/>
      <c r="ENV6"/>
      <c r="ENX6"/>
      <c r="ENZ6"/>
      <c r="EOB6"/>
      <c r="EOD6"/>
      <c r="EOF6"/>
      <c r="EOH6"/>
      <c r="EOJ6"/>
      <c r="EOL6"/>
      <c r="EON6"/>
      <c r="EOP6"/>
      <c r="EOR6"/>
      <c r="EOT6"/>
      <c r="EOV6"/>
      <c r="EOX6"/>
      <c r="EOZ6"/>
      <c r="EPB6"/>
      <c r="EPD6"/>
      <c r="EPF6"/>
      <c r="EPH6"/>
      <c r="EPJ6"/>
      <c r="EPL6"/>
      <c r="EPN6"/>
      <c r="EPP6"/>
      <c r="EPR6"/>
      <c r="EPT6"/>
      <c r="EPV6"/>
      <c r="EPX6"/>
      <c r="EPZ6"/>
      <c r="EQB6"/>
      <c r="EQD6"/>
      <c r="EQF6"/>
      <c r="EQH6"/>
      <c r="EQJ6"/>
      <c r="EQL6"/>
      <c r="EQN6"/>
      <c r="EQP6"/>
      <c r="EQR6"/>
      <c r="EQT6"/>
      <c r="EQV6"/>
      <c r="EQX6"/>
      <c r="EQZ6"/>
      <c r="ERB6"/>
      <c r="ERD6"/>
      <c r="ERF6"/>
      <c r="ERH6"/>
      <c r="ERJ6"/>
      <c r="ERL6"/>
      <c r="ERN6"/>
      <c r="ERP6"/>
      <c r="ERR6"/>
      <c r="ERT6"/>
      <c r="ERV6"/>
      <c r="ERX6"/>
      <c r="ERZ6"/>
      <c r="ESB6"/>
      <c r="ESD6"/>
      <c r="ESF6"/>
      <c r="ESH6"/>
      <c r="ESJ6"/>
      <c r="ESL6"/>
      <c r="ESN6"/>
      <c r="ESP6"/>
      <c r="ESR6"/>
      <c r="EST6"/>
      <c r="ESV6"/>
      <c r="ESX6"/>
      <c r="ESZ6"/>
      <c r="ETB6"/>
      <c r="ETD6"/>
      <c r="ETF6"/>
      <c r="ETH6"/>
      <c r="ETJ6"/>
      <c r="ETL6"/>
      <c r="ETN6"/>
      <c r="ETP6"/>
      <c r="ETR6"/>
      <c r="ETT6"/>
      <c r="ETV6"/>
      <c r="ETX6"/>
      <c r="ETZ6"/>
      <c r="EUB6"/>
      <c r="EUD6"/>
      <c r="EUF6"/>
      <c r="EUH6"/>
      <c r="EUJ6"/>
      <c r="EUL6"/>
      <c r="EUN6"/>
      <c r="EUP6"/>
      <c r="EUR6"/>
      <c r="EUT6"/>
      <c r="EUV6"/>
      <c r="EUX6"/>
      <c r="EUZ6"/>
      <c r="EVB6"/>
      <c r="EVD6"/>
      <c r="EVF6"/>
      <c r="EVH6"/>
      <c r="EVJ6"/>
      <c r="EVL6"/>
      <c r="EVN6"/>
      <c r="EVP6"/>
      <c r="EVR6"/>
      <c r="EVT6"/>
      <c r="EVV6"/>
      <c r="EVX6"/>
      <c r="EVZ6"/>
      <c r="EWB6"/>
      <c r="EWD6"/>
      <c r="EWF6"/>
      <c r="EWH6"/>
      <c r="EWJ6"/>
      <c r="EWL6"/>
      <c r="EWN6"/>
      <c r="EWP6"/>
      <c r="EWR6"/>
      <c r="EWT6"/>
      <c r="EWV6"/>
      <c r="EWX6"/>
      <c r="EWZ6"/>
      <c r="EXB6"/>
      <c r="EXD6"/>
      <c r="EXF6"/>
      <c r="EXH6"/>
      <c r="EXJ6"/>
      <c r="EXL6"/>
      <c r="EXN6"/>
      <c r="EXP6"/>
      <c r="EXR6"/>
      <c r="EXT6"/>
      <c r="EXV6"/>
      <c r="EXX6"/>
      <c r="EXZ6"/>
      <c r="EYB6"/>
      <c r="EYD6"/>
      <c r="EYF6"/>
      <c r="EYH6"/>
      <c r="EYJ6"/>
      <c r="EYL6"/>
      <c r="EYN6"/>
      <c r="EYP6"/>
      <c r="EYR6"/>
      <c r="EYT6"/>
      <c r="EYV6"/>
      <c r="EYX6"/>
      <c r="EYZ6"/>
      <c r="EZB6"/>
      <c r="EZD6"/>
      <c r="EZF6"/>
      <c r="EZH6"/>
      <c r="EZJ6"/>
      <c r="EZL6"/>
      <c r="EZN6"/>
      <c r="EZP6"/>
      <c r="EZR6"/>
      <c r="EZT6"/>
      <c r="EZV6"/>
      <c r="EZX6"/>
      <c r="EZZ6"/>
      <c r="FAB6"/>
      <c r="FAD6"/>
      <c r="FAF6"/>
      <c r="FAH6"/>
      <c r="FAJ6"/>
      <c r="FAL6"/>
      <c r="FAN6"/>
      <c r="FAP6"/>
      <c r="FAR6"/>
      <c r="FAT6"/>
      <c r="FAV6"/>
      <c r="FAX6"/>
      <c r="FAZ6"/>
      <c r="FBB6"/>
      <c r="FBD6"/>
      <c r="FBF6"/>
      <c r="FBH6"/>
      <c r="FBJ6"/>
      <c r="FBL6"/>
      <c r="FBN6"/>
      <c r="FBP6"/>
      <c r="FBR6"/>
      <c r="FBT6"/>
      <c r="FBV6"/>
      <c r="FBX6"/>
      <c r="FBZ6"/>
      <c r="FCB6"/>
      <c r="FCD6"/>
      <c r="FCF6"/>
      <c r="FCH6"/>
      <c r="FCJ6"/>
      <c r="FCL6"/>
      <c r="FCN6"/>
      <c r="FCP6"/>
      <c r="FCR6"/>
      <c r="FCT6"/>
      <c r="FCV6"/>
      <c r="FCX6"/>
      <c r="FCZ6"/>
      <c r="FDB6"/>
      <c r="FDD6"/>
      <c r="FDF6"/>
      <c r="FDH6"/>
      <c r="FDJ6"/>
      <c r="FDL6"/>
      <c r="FDN6"/>
      <c r="FDP6"/>
      <c r="FDR6"/>
      <c r="FDT6"/>
      <c r="FDV6"/>
      <c r="FDX6"/>
      <c r="FDZ6"/>
      <c r="FEB6"/>
      <c r="FED6"/>
      <c r="FEF6"/>
      <c r="FEH6"/>
      <c r="FEJ6"/>
      <c r="FEL6"/>
      <c r="FEN6"/>
      <c r="FEP6"/>
      <c r="FER6"/>
      <c r="FET6"/>
      <c r="FEV6"/>
      <c r="FEX6"/>
      <c r="FEZ6"/>
      <c r="FFB6"/>
      <c r="FFD6"/>
      <c r="FFF6"/>
      <c r="FFH6"/>
      <c r="FFJ6"/>
      <c r="FFL6"/>
      <c r="FFN6"/>
      <c r="FFP6"/>
      <c r="FFR6"/>
      <c r="FFT6"/>
      <c r="FFV6"/>
      <c r="FFX6"/>
      <c r="FFZ6"/>
      <c r="FGB6"/>
      <c r="FGD6"/>
      <c r="FGF6"/>
      <c r="FGH6"/>
      <c r="FGJ6"/>
      <c r="FGL6"/>
      <c r="FGN6"/>
      <c r="FGP6"/>
      <c r="FGR6"/>
      <c r="FGT6"/>
      <c r="FGV6"/>
      <c r="FGX6"/>
      <c r="FGZ6"/>
      <c r="FHB6"/>
      <c r="FHD6"/>
      <c r="FHF6"/>
      <c r="FHH6"/>
      <c r="FHJ6"/>
      <c r="FHL6"/>
      <c r="FHN6"/>
      <c r="FHP6"/>
      <c r="FHR6"/>
      <c r="FHT6"/>
      <c r="FHV6"/>
      <c r="FHX6"/>
      <c r="FHZ6"/>
      <c r="FIB6"/>
      <c r="FID6"/>
      <c r="FIF6"/>
      <c r="FIH6"/>
      <c r="FIJ6"/>
      <c r="FIL6"/>
      <c r="FIN6"/>
      <c r="FIP6"/>
      <c r="FIR6"/>
      <c r="FIT6"/>
      <c r="FIV6"/>
      <c r="FIX6"/>
      <c r="FIZ6"/>
      <c r="FJB6"/>
      <c r="FJD6"/>
      <c r="FJF6"/>
      <c r="FJH6"/>
      <c r="FJJ6"/>
      <c r="FJL6"/>
      <c r="FJN6"/>
      <c r="FJP6"/>
      <c r="FJR6"/>
      <c r="FJT6"/>
      <c r="FJV6"/>
      <c r="FJX6"/>
      <c r="FJZ6"/>
      <c r="FKB6"/>
      <c r="FKD6"/>
      <c r="FKF6"/>
      <c r="FKH6"/>
      <c r="FKJ6"/>
      <c r="FKL6"/>
      <c r="FKN6"/>
      <c r="FKP6"/>
      <c r="FKR6"/>
      <c r="FKT6"/>
      <c r="FKV6"/>
      <c r="FKX6"/>
      <c r="FKZ6"/>
      <c r="FLB6"/>
      <c r="FLD6"/>
      <c r="FLF6"/>
      <c r="FLH6"/>
      <c r="FLJ6"/>
      <c r="FLL6"/>
      <c r="FLN6"/>
      <c r="FLP6"/>
      <c r="FLR6"/>
      <c r="FLT6"/>
      <c r="FLV6"/>
      <c r="FLX6"/>
      <c r="FLZ6"/>
      <c r="FMB6"/>
      <c r="FMD6"/>
      <c r="FMF6"/>
      <c r="FMH6"/>
      <c r="FMJ6"/>
      <c r="FML6"/>
      <c r="FMN6"/>
      <c r="FMP6"/>
      <c r="FMR6"/>
      <c r="FMT6"/>
      <c r="FMV6"/>
      <c r="FMX6"/>
      <c r="FMZ6"/>
      <c r="FNB6"/>
      <c r="FND6"/>
      <c r="FNF6"/>
      <c r="FNH6"/>
      <c r="FNJ6"/>
      <c r="FNL6"/>
      <c r="FNN6"/>
      <c r="FNP6"/>
      <c r="FNR6"/>
      <c r="FNT6"/>
      <c r="FNV6"/>
      <c r="FNX6"/>
      <c r="FNZ6"/>
      <c r="FOB6"/>
      <c r="FOD6"/>
      <c r="FOF6"/>
      <c r="FOH6"/>
      <c r="FOJ6"/>
      <c r="FOL6"/>
      <c r="FON6"/>
      <c r="FOP6"/>
      <c r="FOR6"/>
      <c r="FOT6"/>
      <c r="FOV6"/>
      <c r="FOX6"/>
      <c r="FOZ6"/>
      <c r="FPB6"/>
      <c r="FPD6"/>
      <c r="FPF6"/>
      <c r="FPH6"/>
      <c r="FPJ6"/>
      <c r="FPL6"/>
      <c r="FPN6"/>
      <c r="FPP6"/>
      <c r="FPR6"/>
      <c r="FPT6"/>
      <c r="FPV6"/>
      <c r="FPX6"/>
      <c r="FPZ6"/>
      <c r="FQB6"/>
      <c r="FQD6"/>
      <c r="FQF6"/>
      <c r="FQH6"/>
      <c r="FQJ6"/>
      <c r="FQL6"/>
      <c r="FQN6"/>
      <c r="FQP6"/>
      <c r="FQR6"/>
      <c r="FQT6"/>
      <c r="FQV6"/>
      <c r="FQX6"/>
      <c r="FQZ6"/>
      <c r="FRB6"/>
      <c r="FRD6"/>
      <c r="FRF6"/>
      <c r="FRH6"/>
      <c r="FRJ6"/>
      <c r="FRL6"/>
      <c r="FRN6"/>
      <c r="FRP6"/>
      <c r="FRR6"/>
      <c r="FRT6"/>
      <c r="FRV6"/>
      <c r="FRX6"/>
      <c r="FRZ6"/>
      <c r="FSB6"/>
      <c r="FSD6"/>
      <c r="FSF6"/>
      <c r="FSH6"/>
      <c r="FSJ6"/>
      <c r="FSL6"/>
      <c r="FSN6"/>
      <c r="FSP6"/>
      <c r="FSR6"/>
      <c r="FST6"/>
      <c r="FSV6"/>
      <c r="FSX6"/>
      <c r="FSZ6"/>
      <c r="FTB6"/>
      <c r="FTD6"/>
      <c r="FTF6"/>
      <c r="FTH6"/>
      <c r="FTJ6"/>
      <c r="FTL6"/>
      <c r="FTN6"/>
      <c r="FTP6"/>
      <c r="FTR6"/>
      <c r="FTT6"/>
      <c r="FTV6"/>
      <c r="FTX6"/>
      <c r="FTZ6"/>
      <c r="FUB6"/>
      <c r="FUD6"/>
      <c r="FUF6"/>
      <c r="FUH6"/>
      <c r="FUJ6"/>
      <c r="FUL6"/>
      <c r="FUN6"/>
      <c r="FUP6"/>
      <c r="FUR6"/>
      <c r="FUT6"/>
      <c r="FUV6"/>
      <c r="FUX6"/>
      <c r="FUZ6"/>
      <c r="FVB6"/>
      <c r="FVD6"/>
      <c r="FVF6"/>
      <c r="FVH6"/>
      <c r="FVJ6"/>
      <c r="FVL6"/>
      <c r="FVN6"/>
      <c r="FVP6"/>
      <c r="FVR6"/>
      <c r="FVT6"/>
      <c r="FVV6"/>
      <c r="FVX6"/>
      <c r="FVZ6"/>
      <c r="FWB6"/>
      <c r="FWD6"/>
      <c r="FWF6"/>
      <c r="FWH6"/>
      <c r="FWJ6"/>
      <c r="FWL6"/>
      <c r="FWN6"/>
      <c r="FWP6"/>
      <c r="FWR6"/>
      <c r="FWT6"/>
      <c r="FWV6"/>
      <c r="FWX6"/>
      <c r="FWZ6"/>
      <c r="FXB6"/>
      <c r="FXD6"/>
      <c r="FXF6"/>
      <c r="FXH6"/>
      <c r="FXJ6"/>
      <c r="FXL6"/>
      <c r="FXN6"/>
      <c r="FXP6"/>
      <c r="FXR6"/>
      <c r="FXT6"/>
      <c r="FXV6"/>
      <c r="FXX6"/>
      <c r="FXZ6"/>
      <c r="FYB6"/>
      <c r="FYD6"/>
      <c r="FYF6"/>
      <c r="FYH6"/>
      <c r="FYJ6"/>
      <c r="FYL6"/>
      <c r="FYN6"/>
      <c r="FYP6"/>
      <c r="FYR6"/>
      <c r="FYT6"/>
      <c r="FYV6"/>
      <c r="FYX6"/>
      <c r="FYZ6"/>
      <c r="FZB6"/>
      <c r="FZD6"/>
      <c r="FZF6"/>
      <c r="FZH6"/>
      <c r="FZJ6"/>
      <c r="FZL6"/>
      <c r="FZN6"/>
      <c r="FZP6"/>
      <c r="FZR6"/>
      <c r="FZT6"/>
      <c r="FZV6"/>
      <c r="FZX6"/>
      <c r="FZZ6"/>
      <c r="GAB6"/>
      <c r="GAD6"/>
      <c r="GAF6"/>
      <c r="GAH6"/>
      <c r="GAJ6"/>
      <c r="GAL6"/>
      <c r="GAN6"/>
      <c r="GAP6"/>
      <c r="GAR6"/>
      <c r="GAT6"/>
      <c r="GAV6"/>
      <c r="GAX6"/>
      <c r="GAZ6"/>
      <c r="GBB6"/>
      <c r="GBD6"/>
      <c r="GBF6"/>
      <c r="GBH6"/>
      <c r="GBJ6"/>
      <c r="GBL6"/>
      <c r="GBN6"/>
      <c r="GBP6"/>
      <c r="GBR6"/>
      <c r="GBT6"/>
      <c r="GBV6"/>
      <c r="GBX6"/>
      <c r="GBZ6"/>
      <c r="GCB6"/>
      <c r="GCD6"/>
      <c r="GCF6"/>
      <c r="GCH6"/>
      <c r="GCJ6"/>
      <c r="GCL6"/>
      <c r="GCN6"/>
      <c r="GCP6"/>
      <c r="GCR6"/>
      <c r="GCT6"/>
      <c r="GCV6"/>
      <c r="GCX6"/>
      <c r="GCZ6"/>
      <c r="GDB6"/>
      <c r="GDD6"/>
      <c r="GDF6"/>
      <c r="GDH6"/>
      <c r="GDJ6"/>
      <c r="GDL6"/>
      <c r="GDN6"/>
      <c r="GDP6"/>
      <c r="GDR6"/>
      <c r="GDT6"/>
      <c r="GDV6"/>
      <c r="GDX6"/>
      <c r="GDZ6"/>
      <c r="GEB6"/>
      <c r="GED6"/>
      <c r="GEF6"/>
      <c r="GEH6"/>
      <c r="GEJ6"/>
      <c r="GEL6"/>
      <c r="GEN6"/>
      <c r="GEP6"/>
      <c r="GER6"/>
      <c r="GET6"/>
      <c r="GEV6"/>
      <c r="GEX6"/>
      <c r="GEZ6"/>
      <c r="GFB6"/>
      <c r="GFD6"/>
      <c r="GFF6"/>
      <c r="GFH6"/>
      <c r="GFJ6"/>
      <c r="GFL6"/>
      <c r="GFN6"/>
      <c r="GFP6"/>
      <c r="GFR6"/>
      <c r="GFT6"/>
      <c r="GFV6"/>
      <c r="GFX6"/>
      <c r="GFZ6"/>
      <c r="GGB6"/>
      <c r="GGD6"/>
      <c r="GGF6"/>
      <c r="GGH6"/>
      <c r="GGJ6"/>
      <c r="GGL6"/>
      <c r="GGN6"/>
      <c r="GGP6"/>
      <c r="GGR6"/>
      <c r="GGT6"/>
      <c r="GGV6"/>
      <c r="GGX6"/>
      <c r="GGZ6"/>
      <c r="GHB6"/>
      <c r="GHD6"/>
      <c r="GHF6"/>
      <c r="GHH6"/>
      <c r="GHJ6"/>
      <c r="GHL6"/>
      <c r="GHN6"/>
      <c r="GHP6"/>
      <c r="GHR6"/>
      <c r="GHT6"/>
      <c r="GHV6"/>
      <c r="GHX6"/>
      <c r="GHZ6"/>
      <c r="GIB6"/>
      <c r="GID6"/>
      <c r="GIF6"/>
      <c r="GIH6"/>
      <c r="GIJ6"/>
      <c r="GIL6"/>
      <c r="GIN6"/>
      <c r="GIP6"/>
      <c r="GIR6"/>
      <c r="GIT6"/>
      <c r="GIV6"/>
      <c r="GIX6"/>
      <c r="GIZ6"/>
      <c r="GJB6"/>
      <c r="GJD6"/>
      <c r="GJF6"/>
      <c r="GJH6"/>
      <c r="GJJ6"/>
      <c r="GJL6"/>
      <c r="GJN6"/>
      <c r="GJP6"/>
      <c r="GJR6"/>
      <c r="GJT6"/>
      <c r="GJV6"/>
      <c r="GJX6"/>
      <c r="GJZ6"/>
      <c r="GKB6"/>
      <c r="GKD6"/>
      <c r="GKF6"/>
      <c r="GKH6"/>
      <c r="GKJ6"/>
      <c r="GKL6"/>
      <c r="GKN6"/>
      <c r="GKP6"/>
      <c r="GKR6"/>
      <c r="GKT6"/>
      <c r="GKV6"/>
      <c r="GKX6"/>
      <c r="GKZ6"/>
      <c r="GLB6"/>
      <c r="GLD6"/>
      <c r="GLF6"/>
      <c r="GLH6"/>
      <c r="GLJ6"/>
      <c r="GLL6"/>
      <c r="GLN6"/>
      <c r="GLP6"/>
      <c r="GLR6"/>
      <c r="GLT6"/>
      <c r="GLV6"/>
      <c r="GLX6"/>
      <c r="GLZ6"/>
      <c r="GMB6"/>
      <c r="GMD6"/>
      <c r="GMF6"/>
      <c r="GMH6"/>
      <c r="GMJ6"/>
      <c r="GML6"/>
      <c r="GMN6"/>
      <c r="GMP6"/>
      <c r="GMR6"/>
      <c r="GMT6"/>
      <c r="GMV6"/>
      <c r="GMX6"/>
      <c r="GMZ6"/>
      <c r="GNB6"/>
      <c r="GND6"/>
      <c r="GNF6"/>
      <c r="GNH6"/>
      <c r="GNJ6"/>
      <c r="GNL6"/>
      <c r="GNN6"/>
      <c r="GNP6"/>
      <c r="GNR6"/>
      <c r="GNT6"/>
      <c r="GNV6"/>
      <c r="GNX6"/>
      <c r="GNZ6"/>
      <c r="GOB6"/>
      <c r="GOD6"/>
      <c r="GOF6"/>
      <c r="GOH6"/>
      <c r="GOJ6"/>
      <c r="GOL6"/>
      <c r="GON6"/>
      <c r="GOP6"/>
      <c r="GOR6"/>
      <c r="GOT6"/>
      <c r="GOV6"/>
      <c r="GOX6"/>
      <c r="GOZ6"/>
      <c r="GPB6"/>
      <c r="GPD6"/>
      <c r="GPF6"/>
      <c r="GPH6"/>
      <c r="GPJ6"/>
      <c r="GPL6"/>
      <c r="GPN6"/>
      <c r="GPP6"/>
      <c r="GPR6"/>
      <c r="GPT6"/>
      <c r="GPV6"/>
      <c r="GPX6"/>
      <c r="GPZ6"/>
      <c r="GQB6"/>
      <c r="GQD6"/>
      <c r="GQF6"/>
      <c r="GQH6"/>
      <c r="GQJ6"/>
      <c r="GQL6"/>
      <c r="GQN6"/>
      <c r="GQP6"/>
      <c r="GQR6"/>
      <c r="GQT6"/>
      <c r="GQV6"/>
      <c r="GQX6"/>
      <c r="GQZ6"/>
      <c r="GRB6"/>
      <c r="GRD6"/>
      <c r="GRF6"/>
      <c r="GRH6"/>
      <c r="GRJ6"/>
      <c r="GRL6"/>
      <c r="GRN6"/>
      <c r="GRP6"/>
      <c r="GRR6"/>
      <c r="GRT6"/>
      <c r="GRV6"/>
      <c r="GRX6"/>
      <c r="GRZ6"/>
      <c r="GSB6"/>
      <c r="GSD6"/>
      <c r="GSF6"/>
      <c r="GSH6"/>
      <c r="GSJ6"/>
      <c r="GSL6"/>
      <c r="GSN6"/>
      <c r="GSP6"/>
      <c r="GSR6"/>
      <c r="GST6"/>
      <c r="GSV6"/>
      <c r="GSX6"/>
      <c r="GSZ6"/>
      <c r="GTB6"/>
      <c r="GTD6"/>
      <c r="GTF6"/>
      <c r="GTH6"/>
      <c r="GTJ6"/>
      <c r="GTL6"/>
      <c r="GTN6"/>
      <c r="GTP6"/>
      <c r="GTR6"/>
      <c r="GTT6"/>
      <c r="GTV6"/>
      <c r="GTX6"/>
      <c r="GTZ6"/>
      <c r="GUB6"/>
      <c r="GUD6"/>
      <c r="GUF6"/>
      <c r="GUH6"/>
      <c r="GUJ6"/>
      <c r="GUL6"/>
      <c r="GUN6"/>
      <c r="GUP6"/>
      <c r="GUR6"/>
      <c r="GUT6"/>
      <c r="GUV6"/>
      <c r="GUX6"/>
      <c r="GUZ6"/>
      <c r="GVB6"/>
      <c r="GVD6"/>
      <c r="GVF6"/>
      <c r="GVH6"/>
      <c r="GVJ6"/>
      <c r="GVL6"/>
      <c r="GVN6"/>
      <c r="GVP6"/>
      <c r="GVR6"/>
      <c r="GVT6"/>
      <c r="GVV6"/>
      <c r="GVX6"/>
      <c r="GVZ6"/>
      <c r="GWB6"/>
      <c r="GWD6"/>
      <c r="GWF6"/>
      <c r="GWH6"/>
      <c r="GWJ6"/>
      <c r="GWL6"/>
      <c r="GWN6"/>
      <c r="GWP6"/>
      <c r="GWR6"/>
      <c r="GWT6"/>
      <c r="GWV6"/>
      <c r="GWX6"/>
      <c r="GWZ6"/>
      <c r="GXB6"/>
      <c r="GXD6"/>
      <c r="GXF6"/>
      <c r="GXH6"/>
      <c r="GXJ6"/>
      <c r="GXL6"/>
      <c r="GXN6"/>
      <c r="GXP6"/>
      <c r="GXR6"/>
      <c r="GXT6"/>
      <c r="GXV6"/>
      <c r="GXX6"/>
      <c r="GXZ6"/>
      <c r="GYB6"/>
      <c r="GYD6"/>
      <c r="GYF6"/>
      <c r="GYH6"/>
      <c r="GYJ6"/>
      <c r="GYL6"/>
      <c r="GYN6"/>
      <c r="GYP6"/>
      <c r="GYR6"/>
      <c r="GYT6"/>
      <c r="GYV6"/>
      <c r="GYX6"/>
      <c r="GYZ6"/>
      <c r="GZB6"/>
      <c r="GZD6"/>
      <c r="GZF6"/>
      <c r="GZH6"/>
      <c r="GZJ6"/>
      <c r="GZL6"/>
      <c r="GZN6"/>
      <c r="GZP6"/>
      <c r="GZR6"/>
      <c r="GZT6"/>
      <c r="GZV6"/>
      <c r="GZX6"/>
      <c r="GZZ6"/>
      <c r="HAB6"/>
      <c r="HAD6"/>
      <c r="HAF6"/>
      <c r="HAH6"/>
      <c r="HAJ6"/>
      <c r="HAL6"/>
      <c r="HAN6"/>
      <c r="HAP6"/>
      <c r="HAR6"/>
      <c r="HAT6"/>
      <c r="HAV6"/>
      <c r="HAX6"/>
      <c r="HAZ6"/>
      <c r="HBB6"/>
      <c r="HBD6"/>
      <c r="HBF6"/>
      <c r="HBH6"/>
      <c r="HBJ6"/>
      <c r="HBL6"/>
      <c r="HBN6"/>
      <c r="HBP6"/>
      <c r="HBR6"/>
      <c r="HBT6"/>
      <c r="HBV6"/>
      <c r="HBX6"/>
      <c r="HBZ6"/>
      <c r="HCB6"/>
      <c r="HCD6"/>
      <c r="HCF6"/>
      <c r="HCH6"/>
      <c r="HCJ6"/>
      <c r="HCL6"/>
      <c r="HCN6"/>
      <c r="HCP6"/>
      <c r="HCR6"/>
      <c r="HCT6"/>
      <c r="HCV6"/>
      <c r="HCX6"/>
      <c r="HCZ6"/>
      <c r="HDB6"/>
      <c r="HDD6"/>
      <c r="HDF6"/>
      <c r="HDH6"/>
      <c r="HDJ6"/>
      <c r="HDL6"/>
      <c r="HDN6"/>
      <c r="HDP6"/>
      <c r="HDR6"/>
      <c r="HDT6"/>
      <c r="HDV6"/>
      <c r="HDX6"/>
      <c r="HDZ6"/>
      <c r="HEB6"/>
      <c r="HED6"/>
      <c r="HEF6"/>
      <c r="HEH6"/>
      <c r="HEJ6"/>
      <c r="HEL6"/>
      <c r="HEN6"/>
      <c r="HEP6"/>
      <c r="HER6"/>
      <c r="HET6"/>
      <c r="HEV6"/>
      <c r="HEX6"/>
      <c r="HEZ6"/>
      <c r="HFB6"/>
      <c r="HFD6"/>
      <c r="HFF6"/>
      <c r="HFH6"/>
      <c r="HFJ6"/>
      <c r="HFL6"/>
      <c r="HFN6"/>
      <c r="HFP6"/>
      <c r="HFR6"/>
      <c r="HFT6"/>
      <c r="HFV6"/>
      <c r="HFX6"/>
      <c r="HFZ6"/>
      <c r="HGB6"/>
      <c r="HGD6"/>
      <c r="HGF6"/>
      <c r="HGH6"/>
      <c r="HGJ6"/>
      <c r="HGL6"/>
      <c r="HGN6"/>
      <c r="HGP6"/>
      <c r="HGR6"/>
      <c r="HGT6"/>
      <c r="HGV6"/>
      <c r="HGX6"/>
      <c r="HGZ6"/>
      <c r="HHB6"/>
      <c r="HHD6"/>
      <c r="HHF6"/>
      <c r="HHH6"/>
      <c r="HHJ6"/>
      <c r="HHL6"/>
      <c r="HHN6"/>
      <c r="HHP6"/>
      <c r="HHR6"/>
      <c r="HHT6"/>
      <c r="HHV6"/>
      <c r="HHX6"/>
      <c r="HHZ6"/>
      <c r="HIB6"/>
      <c r="HID6"/>
      <c r="HIF6"/>
      <c r="HIH6"/>
      <c r="HIJ6"/>
      <c r="HIL6"/>
      <c r="HIN6"/>
      <c r="HIP6"/>
      <c r="HIR6"/>
      <c r="HIT6"/>
      <c r="HIV6"/>
      <c r="HIX6"/>
      <c r="HIZ6"/>
      <c r="HJB6"/>
      <c r="HJD6"/>
      <c r="HJF6"/>
      <c r="HJH6"/>
      <c r="HJJ6"/>
      <c r="HJL6"/>
      <c r="HJN6"/>
      <c r="HJP6"/>
      <c r="HJR6"/>
      <c r="HJT6"/>
      <c r="HJV6"/>
      <c r="HJX6"/>
      <c r="HJZ6"/>
      <c r="HKB6"/>
      <c r="HKD6"/>
      <c r="HKF6"/>
      <c r="HKH6"/>
      <c r="HKJ6"/>
      <c r="HKL6"/>
      <c r="HKN6"/>
      <c r="HKP6"/>
      <c r="HKR6"/>
      <c r="HKT6"/>
      <c r="HKV6"/>
      <c r="HKX6"/>
      <c r="HKZ6"/>
      <c r="HLB6"/>
      <c r="HLD6"/>
      <c r="HLF6"/>
      <c r="HLH6"/>
      <c r="HLJ6"/>
      <c r="HLL6"/>
      <c r="HLN6"/>
      <c r="HLP6"/>
      <c r="HLR6"/>
      <c r="HLT6"/>
      <c r="HLV6"/>
      <c r="HLX6"/>
      <c r="HLZ6"/>
      <c r="HMB6"/>
      <c r="HMD6"/>
      <c r="HMF6"/>
      <c r="HMH6"/>
      <c r="HMJ6"/>
      <c r="HML6"/>
      <c r="HMN6"/>
      <c r="HMP6"/>
      <c r="HMR6"/>
      <c r="HMT6"/>
      <c r="HMV6"/>
      <c r="HMX6"/>
      <c r="HMZ6"/>
      <c r="HNB6"/>
      <c r="HND6"/>
      <c r="HNF6"/>
      <c r="HNH6"/>
      <c r="HNJ6"/>
      <c r="HNL6"/>
      <c r="HNN6"/>
      <c r="HNP6"/>
      <c r="HNR6"/>
      <c r="HNT6"/>
      <c r="HNV6"/>
      <c r="HNX6"/>
      <c r="HNZ6"/>
      <c r="HOB6"/>
      <c r="HOD6"/>
      <c r="HOF6"/>
      <c r="HOH6"/>
      <c r="HOJ6"/>
      <c r="HOL6"/>
      <c r="HON6"/>
      <c r="HOP6"/>
      <c r="HOR6"/>
      <c r="HOT6"/>
      <c r="HOV6"/>
      <c r="HOX6"/>
      <c r="HOZ6"/>
      <c r="HPB6"/>
      <c r="HPD6"/>
      <c r="HPF6"/>
      <c r="HPH6"/>
      <c r="HPJ6"/>
      <c r="HPL6"/>
      <c r="HPN6"/>
      <c r="HPP6"/>
      <c r="HPR6"/>
      <c r="HPT6"/>
      <c r="HPV6"/>
      <c r="HPX6"/>
      <c r="HPZ6"/>
      <c r="HQB6"/>
      <c r="HQD6"/>
      <c r="HQF6"/>
      <c r="HQH6"/>
      <c r="HQJ6"/>
      <c r="HQL6"/>
      <c r="HQN6"/>
      <c r="HQP6"/>
      <c r="HQR6"/>
      <c r="HQT6"/>
      <c r="HQV6"/>
      <c r="HQX6"/>
      <c r="HQZ6"/>
      <c r="HRB6"/>
      <c r="HRD6"/>
      <c r="HRF6"/>
      <c r="HRH6"/>
      <c r="HRJ6"/>
      <c r="HRL6"/>
      <c r="HRN6"/>
      <c r="HRP6"/>
      <c r="HRR6"/>
      <c r="HRT6"/>
      <c r="HRV6"/>
      <c r="HRX6"/>
      <c r="HRZ6"/>
      <c r="HSB6"/>
      <c r="HSD6"/>
      <c r="HSF6"/>
      <c r="HSH6"/>
      <c r="HSJ6"/>
      <c r="HSL6"/>
      <c r="HSN6"/>
      <c r="HSP6"/>
      <c r="HSR6"/>
      <c r="HST6"/>
      <c r="HSV6"/>
      <c r="HSX6"/>
      <c r="HSZ6"/>
      <c r="HTB6"/>
      <c r="HTD6"/>
      <c r="HTF6"/>
      <c r="HTH6"/>
      <c r="HTJ6"/>
      <c r="HTL6"/>
      <c r="HTN6"/>
      <c r="HTP6"/>
      <c r="HTR6"/>
      <c r="HTT6"/>
      <c r="HTV6"/>
      <c r="HTX6"/>
      <c r="HTZ6"/>
      <c r="HUB6"/>
      <c r="HUD6"/>
      <c r="HUF6"/>
      <c r="HUH6"/>
      <c r="HUJ6"/>
      <c r="HUL6"/>
      <c r="HUN6"/>
      <c r="HUP6"/>
      <c r="HUR6"/>
      <c r="HUT6"/>
      <c r="HUV6"/>
      <c r="HUX6"/>
      <c r="HUZ6"/>
      <c r="HVB6"/>
      <c r="HVD6"/>
      <c r="HVF6"/>
      <c r="HVH6"/>
      <c r="HVJ6"/>
      <c r="HVL6"/>
      <c r="HVN6"/>
      <c r="HVP6"/>
      <c r="HVR6"/>
      <c r="HVT6"/>
      <c r="HVV6"/>
      <c r="HVX6"/>
      <c r="HVZ6"/>
      <c r="HWB6"/>
      <c r="HWD6"/>
      <c r="HWF6"/>
      <c r="HWH6"/>
      <c r="HWJ6"/>
      <c r="HWL6"/>
      <c r="HWN6"/>
      <c r="HWP6"/>
      <c r="HWR6"/>
      <c r="HWT6"/>
      <c r="HWV6"/>
      <c r="HWX6"/>
      <c r="HWZ6"/>
      <c r="HXB6"/>
      <c r="HXD6"/>
      <c r="HXF6"/>
      <c r="HXH6"/>
      <c r="HXJ6"/>
      <c r="HXL6"/>
      <c r="HXN6"/>
      <c r="HXP6"/>
      <c r="HXR6"/>
      <c r="HXT6"/>
      <c r="HXV6"/>
      <c r="HXX6"/>
      <c r="HXZ6"/>
      <c r="HYB6"/>
      <c r="HYD6"/>
      <c r="HYF6"/>
      <c r="HYH6"/>
      <c r="HYJ6"/>
      <c r="HYL6"/>
      <c r="HYN6"/>
      <c r="HYP6"/>
      <c r="HYR6"/>
      <c r="HYT6"/>
      <c r="HYV6"/>
      <c r="HYX6"/>
      <c r="HYZ6"/>
      <c r="HZB6"/>
      <c r="HZD6"/>
      <c r="HZF6"/>
      <c r="HZH6"/>
      <c r="HZJ6"/>
      <c r="HZL6"/>
      <c r="HZN6"/>
      <c r="HZP6"/>
      <c r="HZR6"/>
      <c r="HZT6"/>
      <c r="HZV6"/>
      <c r="HZX6"/>
      <c r="HZZ6"/>
      <c r="IAB6"/>
      <c r="IAD6"/>
      <c r="IAF6"/>
      <c r="IAH6"/>
      <c r="IAJ6"/>
      <c r="IAL6"/>
      <c r="IAN6"/>
      <c r="IAP6"/>
      <c r="IAR6"/>
      <c r="IAT6"/>
      <c r="IAV6"/>
      <c r="IAX6"/>
      <c r="IAZ6"/>
      <c r="IBB6"/>
      <c r="IBD6"/>
      <c r="IBF6"/>
      <c r="IBH6"/>
      <c r="IBJ6"/>
      <c r="IBL6"/>
      <c r="IBN6"/>
      <c r="IBP6"/>
      <c r="IBR6"/>
      <c r="IBT6"/>
      <c r="IBV6"/>
      <c r="IBX6"/>
      <c r="IBZ6"/>
      <c r="ICB6"/>
      <c r="ICD6"/>
      <c r="ICF6"/>
      <c r="ICH6"/>
      <c r="ICJ6"/>
      <c r="ICL6"/>
      <c r="ICN6"/>
      <c r="ICP6"/>
      <c r="ICR6"/>
      <c r="ICT6"/>
      <c r="ICV6"/>
      <c r="ICX6"/>
      <c r="ICZ6"/>
      <c r="IDB6"/>
      <c r="IDD6"/>
      <c r="IDF6"/>
      <c r="IDH6"/>
      <c r="IDJ6"/>
      <c r="IDL6"/>
      <c r="IDN6"/>
      <c r="IDP6"/>
      <c r="IDR6"/>
      <c r="IDT6"/>
      <c r="IDV6"/>
      <c r="IDX6"/>
      <c r="IDZ6"/>
      <c r="IEB6"/>
      <c r="IED6"/>
      <c r="IEF6"/>
      <c r="IEH6"/>
      <c r="IEJ6"/>
      <c r="IEL6"/>
      <c r="IEN6"/>
      <c r="IEP6"/>
      <c r="IER6"/>
      <c r="IET6"/>
      <c r="IEV6"/>
      <c r="IEX6"/>
      <c r="IEZ6"/>
      <c r="IFB6"/>
      <c r="IFD6"/>
      <c r="IFF6"/>
      <c r="IFH6"/>
      <c r="IFJ6"/>
      <c r="IFL6"/>
      <c r="IFN6"/>
      <c r="IFP6"/>
      <c r="IFR6"/>
      <c r="IFT6"/>
      <c r="IFV6"/>
      <c r="IFX6"/>
      <c r="IFZ6"/>
      <c r="IGB6"/>
      <c r="IGD6"/>
      <c r="IGF6"/>
      <c r="IGH6"/>
      <c r="IGJ6"/>
      <c r="IGL6"/>
      <c r="IGN6"/>
      <c r="IGP6"/>
      <c r="IGR6"/>
      <c r="IGT6"/>
      <c r="IGV6"/>
      <c r="IGX6"/>
      <c r="IGZ6"/>
      <c r="IHB6"/>
      <c r="IHD6"/>
      <c r="IHF6"/>
      <c r="IHH6"/>
      <c r="IHJ6"/>
      <c r="IHL6"/>
      <c r="IHN6"/>
      <c r="IHP6"/>
      <c r="IHR6"/>
      <c r="IHT6"/>
      <c r="IHV6"/>
      <c r="IHX6"/>
      <c r="IHZ6"/>
      <c r="IIB6"/>
      <c r="IID6"/>
      <c r="IIF6"/>
      <c r="IIH6"/>
      <c r="IIJ6"/>
      <c r="IIL6"/>
      <c r="IIN6"/>
      <c r="IIP6"/>
      <c r="IIR6"/>
      <c r="IIT6"/>
      <c r="IIV6"/>
      <c r="IIX6"/>
      <c r="IIZ6"/>
      <c r="IJB6"/>
      <c r="IJD6"/>
      <c r="IJF6"/>
      <c r="IJH6"/>
      <c r="IJJ6"/>
      <c r="IJL6"/>
      <c r="IJN6"/>
      <c r="IJP6"/>
      <c r="IJR6"/>
      <c r="IJT6"/>
      <c r="IJV6"/>
      <c r="IJX6"/>
      <c r="IJZ6"/>
      <c r="IKB6"/>
      <c r="IKD6"/>
      <c r="IKF6"/>
      <c r="IKH6"/>
      <c r="IKJ6"/>
      <c r="IKL6"/>
      <c r="IKN6"/>
      <c r="IKP6"/>
      <c r="IKR6"/>
      <c r="IKT6"/>
      <c r="IKV6"/>
      <c r="IKX6"/>
      <c r="IKZ6"/>
      <c r="ILB6"/>
      <c r="ILD6"/>
      <c r="ILF6"/>
      <c r="ILH6"/>
      <c r="ILJ6"/>
      <c r="ILL6"/>
      <c r="ILN6"/>
      <c r="ILP6"/>
      <c r="ILR6"/>
      <c r="ILT6"/>
      <c r="ILV6"/>
      <c r="ILX6"/>
      <c r="ILZ6"/>
      <c r="IMB6"/>
      <c r="IMD6"/>
      <c r="IMF6"/>
      <c r="IMH6"/>
      <c r="IMJ6"/>
      <c r="IML6"/>
      <c r="IMN6"/>
      <c r="IMP6"/>
      <c r="IMR6"/>
      <c r="IMT6"/>
      <c r="IMV6"/>
      <c r="IMX6"/>
      <c r="IMZ6"/>
      <c r="INB6"/>
      <c r="IND6"/>
      <c r="INF6"/>
      <c r="INH6"/>
      <c r="INJ6"/>
      <c r="INL6"/>
      <c r="INN6"/>
      <c r="INP6"/>
      <c r="INR6"/>
      <c r="INT6"/>
      <c r="INV6"/>
      <c r="INX6"/>
      <c r="INZ6"/>
      <c r="IOB6"/>
      <c r="IOD6"/>
      <c r="IOF6"/>
      <c r="IOH6"/>
      <c r="IOJ6"/>
      <c r="IOL6"/>
      <c r="ION6"/>
      <c r="IOP6"/>
      <c r="IOR6"/>
      <c r="IOT6"/>
      <c r="IOV6"/>
      <c r="IOX6"/>
      <c r="IOZ6"/>
      <c r="IPB6"/>
      <c r="IPD6"/>
      <c r="IPF6"/>
      <c r="IPH6"/>
      <c r="IPJ6"/>
      <c r="IPL6"/>
      <c r="IPN6"/>
      <c r="IPP6"/>
      <c r="IPR6"/>
      <c r="IPT6"/>
      <c r="IPV6"/>
      <c r="IPX6"/>
      <c r="IPZ6"/>
      <c r="IQB6"/>
      <c r="IQD6"/>
      <c r="IQF6"/>
      <c r="IQH6"/>
      <c r="IQJ6"/>
      <c r="IQL6"/>
      <c r="IQN6"/>
      <c r="IQP6"/>
      <c r="IQR6"/>
      <c r="IQT6"/>
      <c r="IQV6"/>
      <c r="IQX6"/>
      <c r="IQZ6"/>
      <c r="IRB6"/>
      <c r="IRD6"/>
      <c r="IRF6"/>
      <c r="IRH6"/>
      <c r="IRJ6"/>
      <c r="IRL6"/>
      <c r="IRN6"/>
      <c r="IRP6"/>
      <c r="IRR6"/>
      <c r="IRT6"/>
      <c r="IRV6"/>
      <c r="IRX6"/>
      <c r="IRZ6"/>
      <c r="ISB6"/>
      <c r="ISD6"/>
      <c r="ISF6"/>
      <c r="ISH6"/>
      <c r="ISJ6"/>
      <c r="ISL6"/>
      <c r="ISN6"/>
      <c r="ISP6"/>
      <c r="ISR6"/>
      <c r="IST6"/>
      <c r="ISV6"/>
      <c r="ISX6"/>
      <c r="ISZ6"/>
      <c r="ITB6"/>
      <c r="ITD6"/>
      <c r="ITF6"/>
      <c r="ITH6"/>
      <c r="ITJ6"/>
      <c r="ITL6"/>
      <c r="ITN6"/>
      <c r="ITP6"/>
      <c r="ITR6"/>
      <c r="ITT6"/>
      <c r="ITV6"/>
      <c r="ITX6"/>
      <c r="ITZ6"/>
      <c r="IUB6"/>
      <c r="IUD6"/>
      <c r="IUF6"/>
      <c r="IUH6"/>
      <c r="IUJ6"/>
      <c r="IUL6"/>
      <c r="IUN6"/>
      <c r="IUP6"/>
      <c r="IUR6"/>
      <c r="IUT6"/>
      <c r="IUV6"/>
      <c r="IUX6"/>
      <c r="IUZ6"/>
      <c r="IVB6"/>
      <c r="IVD6"/>
      <c r="IVF6"/>
      <c r="IVH6"/>
      <c r="IVJ6"/>
      <c r="IVL6"/>
      <c r="IVN6"/>
      <c r="IVP6"/>
      <c r="IVR6"/>
      <c r="IVT6"/>
      <c r="IVV6"/>
      <c r="IVX6"/>
      <c r="IVZ6"/>
      <c r="IWB6"/>
      <c r="IWD6"/>
      <c r="IWF6"/>
      <c r="IWH6"/>
      <c r="IWJ6"/>
      <c r="IWL6"/>
      <c r="IWN6"/>
      <c r="IWP6"/>
      <c r="IWR6"/>
      <c r="IWT6"/>
      <c r="IWV6"/>
      <c r="IWX6"/>
      <c r="IWZ6"/>
      <c r="IXB6"/>
      <c r="IXD6"/>
      <c r="IXF6"/>
      <c r="IXH6"/>
      <c r="IXJ6"/>
      <c r="IXL6"/>
      <c r="IXN6"/>
      <c r="IXP6"/>
      <c r="IXR6"/>
      <c r="IXT6"/>
      <c r="IXV6"/>
      <c r="IXX6"/>
      <c r="IXZ6"/>
      <c r="IYB6"/>
      <c r="IYD6"/>
      <c r="IYF6"/>
      <c r="IYH6"/>
      <c r="IYJ6"/>
      <c r="IYL6"/>
      <c r="IYN6"/>
      <c r="IYP6"/>
      <c r="IYR6"/>
      <c r="IYT6"/>
      <c r="IYV6"/>
      <c r="IYX6"/>
      <c r="IYZ6"/>
      <c r="IZB6"/>
      <c r="IZD6"/>
      <c r="IZF6"/>
      <c r="IZH6"/>
      <c r="IZJ6"/>
      <c r="IZL6"/>
      <c r="IZN6"/>
      <c r="IZP6"/>
      <c r="IZR6"/>
      <c r="IZT6"/>
      <c r="IZV6"/>
      <c r="IZX6"/>
      <c r="IZZ6"/>
      <c r="JAB6"/>
      <c r="JAD6"/>
      <c r="JAF6"/>
      <c r="JAH6"/>
      <c r="JAJ6"/>
      <c r="JAL6"/>
      <c r="JAN6"/>
      <c r="JAP6"/>
      <c r="JAR6"/>
      <c r="JAT6"/>
      <c r="JAV6"/>
      <c r="JAX6"/>
      <c r="JAZ6"/>
      <c r="JBB6"/>
      <c r="JBD6"/>
      <c r="JBF6"/>
      <c r="JBH6"/>
      <c r="JBJ6"/>
      <c r="JBL6"/>
      <c r="JBN6"/>
      <c r="JBP6"/>
      <c r="JBR6"/>
      <c r="JBT6"/>
      <c r="JBV6"/>
      <c r="JBX6"/>
      <c r="JBZ6"/>
      <c r="JCB6"/>
      <c r="JCD6"/>
      <c r="JCF6"/>
      <c r="JCH6"/>
      <c r="JCJ6"/>
      <c r="JCL6"/>
      <c r="JCN6"/>
      <c r="JCP6"/>
      <c r="JCR6"/>
      <c r="JCT6"/>
      <c r="JCV6"/>
      <c r="JCX6"/>
      <c r="JCZ6"/>
      <c r="JDB6"/>
      <c r="JDD6"/>
      <c r="JDF6"/>
      <c r="JDH6"/>
      <c r="JDJ6"/>
      <c r="JDL6"/>
      <c r="JDN6"/>
      <c r="JDP6"/>
      <c r="JDR6"/>
      <c r="JDT6"/>
      <c r="JDV6"/>
      <c r="JDX6"/>
      <c r="JDZ6"/>
      <c r="JEB6"/>
      <c r="JED6"/>
      <c r="JEF6"/>
      <c r="JEH6"/>
      <c r="JEJ6"/>
      <c r="JEL6"/>
      <c r="JEN6"/>
      <c r="JEP6"/>
      <c r="JER6"/>
      <c r="JET6"/>
      <c r="JEV6"/>
      <c r="JEX6"/>
      <c r="JEZ6"/>
      <c r="JFB6"/>
      <c r="JFD6"/>
      <c r="JFF6"/>
      <c r="JFH6"/>
      <c r="JFJ6"/>
      <c r="JFL6"/>
      <c r="JFN6"/>
      <c r="JFP6"/>
      <c r="JFR6"/>
      <c r="JFT6"/>
      <c r="JFV6"/>
      <c r="JFX6"/>
      <c r="JFZ6"/>
      <c r="JGB6"/>
      <c r="JGD6"/>
      <c r="JGF6"/>
      <c r="JGH6"/>
      <c r="JGJ6"/>
      <c r="JGL6"/>
      <c r="JGN6"/>
      <c r="JGP6"/>
      <c r="JGR6"/>
      <c r="JGT6"/>
      <c r="JGV6"/>
      <c r="JGX6"/>
      <c r="JGZ6"/>
      <c r="JHB6"/>
      <c r="JHD6"/>
      <c r="JHF6"/>
      <c r="JHH6"/>
      <c r="JHJ6"/>
      <c r="JHL6"/>
      <c r="JHN6"/>
      <c r="JHP6"/>
      <c r="JHR6"/>
      <c r="JHT6"/>
      <c r="JHV6"/>
      <c r="JHX6"/>
      <c r="JHZ6"/>
      <c r="JIB6"/>
      <c r="JID6"/>
      <c r="JIF6"/>
      <c r="JIH6"/>
      <c r="JIJ6"/>
      <c r="JIL6"/>
      <c r="JIN6"/>
      <c r="JIP6"/>
      <c r="JIR6"/>
      <c r="JIT6"/>
      <c r="JIV6"/>
      <c r="JIX6"/>
      <c r="JIZ6"/>
      <c r="JJB6"/>
      <c r="JJD6"/>
      <c r="JJF6"/>
      <c r="JJH6"/>
      <c r="JJJ6"/>
      <c r="JJL6"/>
      <c r="JJN6"/>
      <c r="JJP6"/>
      <c r="JJR6"/>
      <c r="JJT6"/>
      <c r="JJV6"/>
      <c r="JJX6"/>
      <c r="JJZ6"/>
      <c r="JKB6"/>
      <c r="JKD6"/>
      <c r="JKF6"/>
      <c r="JKH6"/>
      <c r="JKJ6"/>
      <c r="JKL6"/>
      <c r="JKN6"/>
      <c r="JKP6"/>
      <c r="JKR6"/>
      <c r="JKT6"/>
      <c r="JKV6"/>
      <c r="JKX6"/>
      <c r="JKZ6"/>
      <c r="JLB6"/>
      <c r="JLD6"/>
      <c r="JLF6"/>
      <c r="JLH6"/>
      <c r="JLJ6"/>
      <c r="JLL6"/>
      <c r="JLN6"/>
      <c r="JLP6"/>
      <c r="JLR6"/>
      <c r="JLT6"/>
      <c r="JLV6"/>
      <c r="JLX6"/>
      <c r="JLZ6"/>
      <c r="JMB6"/>
      <c r="JMD6"/>
      <c r="JMF6"/>
      <c r="JMH6"/>
      <c r="JMJ6"/>
      <c r="JML6"/>
      <c r="JMN6"/>
      <c r="JMP6"/>
      <c r="JMR6"/>
      <c r="JMT6"/>
      <c r="JMV6"/>
      <c r="JMX6"/>
      <c r="JMZ6"/>
      <c r="JNB6"/>
      <c r="JND6"/>
      <c r="JNF6"/>
      <c r="JNH6"/>
      <c r="JNJ6"/>
      <c r="JNL6"/>
      <c r="JNN6"/>
      <c r="JNP6"/>
      <c r="JNR6"/>
      <c r="JNT6"/>
      <c r="JNV6"/>
      <c r="JNX6"/>
      <c r="JNZ6"/>
      <c r="JOB6"/>
      <c r="JOD6"/>
      <c r="JOF6"/>
      <c r="JOH6"/>
      <c r="JOJ6"/>
      <c r="JOL6"/>
      <c r="JON6"/>
      <c r="JOP6"/>
      <c r="JOR6"/>
      <c r="JOT6"/>
      <c r="JOV6"/>
      <c r="JOX6"/>
      <c r="JOZ6"/>
      <c r="JPB6"/>
      <c r="JPD6"/>
      <c r="JPF6"/>
      <c r="JPH6"/>
      <c r="JPJ6"/>
      <c r="JPL6"/>
      <c r="JPN6"/>
      <c r="JPP6"/>
      <c r="JPR6"/>
      <c r="JPT6"/>
      <c r="JPV6"/>
      <c r="JPX6"/>
      <c r="JPZ6"/>
      <c r="JQB6"/>
      <c r="JQD6"/>
      <c r="JQF6"/>
      <c r="JQH6"/>
      <c r="JQJ6"/>
      <c r="JQL6"/>
      <c r="JQN6"/>
      <c r="JQP6"/>
      <c r="JQR6"/>
      <c r="JQT6"/>
      <c r="JQV6"/>
      <c r="JQX6"/>
      <c r="JQZ6"/>
      <c r="JRB6"/>
      <c r="JRD6"/>
      <c r="JRF6"/>
      <c r="JRH6"/>
      <c r="JRJ6"/>
      <c r="JRL6"/>
      <c r="JRN6"/>
      <c r="JRP6"/>
      <c r="JRR6"/>
      <c r="JRT6"/>
      <c r="JRV6"/>
      <c r="JRX6"/>
      <c r="JRZ6"/>
      <c r="JSB6"/>
      <c r="JSD6"/>
      <c r="JSF6"/>
      <c r="JSH6"/>
      <c r="JSJ6"/>
      <c r="JSL6"/>
      <c r="JSN6"/>
      <c r="JSP6"/>
      <c r="JSR6"/>
      <c r="JST6"/>
      <c r="JSV6"/>
      <c r="JSX6"/>
      <c r="JSZ6"/>
      <c r="JTB6"/>
      <c r="JTD6"/>
      <c r="JTF6"/>
      <c r="JTH6"/>
      <c r="JTJ6"/>
      <c r="JTL6"/>
      <c r="JTN6"/>
      <c r="JTP6"/>
      <c r="JTR6"/>
      <c r="JTT6"/>
      <c r="JTV6"/>
      <c r="JTX6"/>
      <c r="JTZ6"/>
      <c r="JUB6"/>
      <c r="JUD6"/>
      <c r="JUF6"/>
      <c r="JUH6"/>
      <c r="JUJ6"/>
      <c r="JUL6"/>
      <c r="JUN6"/>
      <c r="JUP6"/>
      <c r="JUR6"/>
      <c r="JUT6"/>
      <c r="JUV6"/>
      <c r="JUX6"/>
      <c r="JUZ6"/>
      <c r="JVB6"/>
      <c r="JVD6"/>
      <c r="JVF6"/>
      <c r="JVH6"/>
      <c r="JVJ6"/>
      <c r="JVL6"/>
      <c r="JVN6"/>
      <c r="JVP6"/>
      <c r="JVR6"/>
      <c r="JVT6"/>
      <c r="JVV6"/>
      <c r="JVX6"/>
      <c r="JVZ6"/>
      <c r="JWB6"/>
      <c r="JWD6"/>
      <c r="JWF6"/>
      <c r="JWH6"/>
      <c r="JWJ6"/>
      <c r="JWL6"/>
      <c r="JWN6"/>
      <c r="JWP6"/>
      <c r="JWR6"/>
      <c r="JWT6"/>
      <c r="JWV6"/>
      <c r="JWX6"/>
      <c r="JWZ6"/>
      <c r="JXB6"/>
      <c r="JXD6"/>
      <c r="JXF6"/>
      <c r="JXH6"/>
      <c r="JXJ6"/>
      <c r="JXL6"/>
      <c r="JXN6"/>
      <c r="JXP6"/>
      <c r="JXR6"/>
      <c r="JXT6"/>
      <c r="JXV6"/>
      <c r="JXX6"/>
      <c r="JXZ6"/>
      <c r="JYB6"/>
      <c r="JYD6"/>
      <c r="JYF6"/>
      <c r="JYH6"/>
      <c r="JYJ6"/>
      <c r="JYL6"/>
      <c r="JYN6"/>
      <c r="JYP6"/>
      <c r="JYR6"/>
      <c r="JYT6"/>
      <c r="JYV6"/>
      <c r="JYX6"/>
      <c r="JYZ6"/>
      <c r="JZB6"/>
      <c r="JZD6"/>
      <c r="JZF6"/>
      <c r="JZH6"/>
      <c r="JZJ6"/>
      <c r="JZL6"/>
      <c r="JZN6"/>
      <c r="JZP6"/>
      <c r="JZR6"/>
      <c r="JZT6"/>
      <c r="JZV6"/>
      <c r="JZX6"/>
      <c r="JZZ6"/>
      <c r="KAB6"/>
      <c r="KAD6"/>
      <c r="KAF6"/>
      <c r="KAH6"/>
      <c r="KAJ6"/>
      <c r="KAL6"/>
      <c r="KAN6"/>
      <c r="KAP6"/>
      <c r="KAR6"/>
      <c r="KAT6"/>
      <c r="KAV6"/>
      <c r="KAX6"/>
      <c r="KAZ6"/>
      <c r="KBB6"/>
      <c r="KBD6"/>
      <c r="KBF6"/>
      <c r="KBH6"/>
      <c r="KBJ6"/>
      <c r="KBL6"/>
      <c r="KBN6"/>
      <c r="KBP6"/>
      <c r="KBR6"/>
      <c r="KBT6"/>
      <c r="KBV6"/>
      <c r="KBX6"/>
      <c r="KBZ6"/>
      <c r="KCB6"/>
      <c r="KCD6"/>
      <c r="KCF6"/>
      <c r="KCH6"/>
      <c r="KCJ6"/>
      <c r="KCL6"/>
      <c r="KCN6"/>
      <c r="KCP6"/>
      <c r="KCR6"/>
      <c r="KCT6"/>
      <c r="KCV6"/>
      <c r="KCX6"/>
      <c r="KCZ6"/>
      <c r="KDB6"/>
      <c r="KDD6"/>
      <c r="KDF6"/>
      <c r="KDH6"/>
      <c r="KDJ6"/>
      <c r="KDL6"/>
      <c r="KDN6"/>
      <c r="KDP6"/>
      <c r="KDR6"/>
      <c r="KDT6"/>
      <c r="KDV6"/>
      <c r="KDX6"/>
      <c r="KDZ6"/>
      <c r="KEB6"/>
      <c r="KED6"/>
      <c r="KEF6"/>
      <c r="KEH6"/>
      <c r="KEJ6"/>
      <c r="KEL6"/>
      <c r="KEN6"/>
      <c r="KEP6"/>
      <c r="KER6"/>
      <c r="KET6"/>
      <c r="KEV6"/>
      <c r="KEX6"/>
      <c r="KEZ6"/>
      <c r="KFB6"/>
      <c r="KFD6"/>
      <c r="KFF6"/>
      <c r="KFH6"/>
      <c r="KFJ6"/>
      <c r="KFL6"/>
      <c r="KFN6"/>
      <c r="KFP6"/>
      <c r="KFR6"/>
      <c r="KFT6"/>
      <c r="KFV6"/>
      <c r="KFX6"/>
      <c r="KFZ6"/>
      <c r="KGB6"/>
      <c r="KGD6"/>
      <c r="KGF6"/>
      <c r="KGH6"/>
      <c r="KGJ6"/>
      <c r="KGL6"/>
      <c r="KGN6"/>
      <c r="KGP6"/>
      <c r="KGR6"/>
      <c r="KGT6"/>
      <c r="KGV6"/>
      <c r="KGX6"/>
      <c r="KGZ6"/>
      <c r="KHB6"/>
      <c r="KHD6"/>
      <c r="KHF6"/>
      <c r="KHH6"/>
      <c r="KHJ6"/>
      <c r="KHL6"/>
      <c r="KHN6"/>
      <c r="KHP6"/>
      <c r="KHR6"/>
      <c r="KHT6"/>
      <c r="KHV6"/>
      <c r="KHX6"/>
      <c r="KHZ6"/>
      <c r="KIB6"/>
      <c r="KID6"/>
      <c r="KIF6"/>
      <c r="KIH6"/>
      <c r="KIJ6"/>
      <c r="KIL6"/>
      <c r="KIN6"/>
      <c r="KIP6"/>
      <c r="KIR6"/>
      <c r="KIT6"/>
      <c r="KIV6"/>
      <c r="KIX6"/>
      <c r="KIZ6"/>
      <c r="KJB6"/>
      <c r="KJD6"/>
      <c r="KJF6"/>
      <c r="KJH6"/>
      <c r="KJJ6"/>
      <c r="KJL6"/>
      <c r="KJN6"/>
      <c r="KJP6"/>
      <c r="KJR6"/>
      <c r="KJT6"/>
      <c r="KJV6"/>
      <c r="KJX6"/>
      <c r="KJZ6"/>
      <c r="KKB6"/>
      <c r="KKD6"/>
      <c r="KKF6"/>
      <c r="KKH6"/>
      <c r="KKJ6"/>
      <c r="KKL6"/>
      <c r="KKN6"/>
      <c r="KKP6"/>
      <c r="KKR6"/>
      <c r="KKT6"/>
      <c r="KKV6"/>
      <c r="KKX6"/>
      <c r="KKZ6"/>
      <c r="KLB6"/>
      <c r="KLD6"/>
      <c r="KLF6"/>
      <c r="KLH6"/>
      <c r="KLJ6"/>
      <c r="KLL6"/>
      <c r="KLN6"/>
      <c r="KLP6"/>
      <c r="KLR6"/>
      <c r="KLT6"/>
      <c r="KLV6"/>
      <c r="KLX6"/>
      <c r="KLZ6"/>
      <c r="KMB6"/>
      <c r="KMD6"/>
      <c r="KMF6"/>
      <c r="KMH6"/>
      <c r="KMJ6"/>
      <c r="KML6"/>
      <c r="KMN6"/>
      <c r="KMP6"/>
      <c r="KMR6"/>
      <c r="KMT6"/>
      <c r="KMV6"/>
      <c r="KMX6"/>
      <c r="KMZ6"/>
      <c r="KNB6"/>
      <c r="KND6"/>
      <c r="KNF6"/>
      <c r="KNH6"/>
      <c r="KNJ6"/>
      <c r="KNL6"/>
      <c r="KNN6"/>
      <c r="KNP6"/>
      <c r="KNR6"/>
      <c r="KNT6"/>
      <c r="KNV6"/>
      <c r="KNX6"/>
      <c r="KNZ6"/>
      <c r="KOB6"/>
      <c r="KOD6"/>
      <c r="KOF6"/>
      <c r="KOH6"/>
      <c r="KOJ6"/>
      <c r="KOL6"/>
      <c r="KON6"/>
      <c r="KOP6"/>
      <c r="KOR6"/>
      <c r="KOT6"/>
      <c r="KOV6"/>
      <c r="KOX6"/>
      <c r="KOZ6"/>
      <c r="KPB6"/>
      <c r="KPD6"/>
      <c r="KPF6"/>
      <c r="KPH6"/>
      <c r="KPJ6"/>
      <c r="KPL6"/>
      <c r="KPN6"/>
      <c r="KPP6"/>
      <c r="KPR6"/>
      <c r="KPT6"/>
      <c r="KPV6"/>
      <c r="KPX6"/>
      <c r="KPZ6"/>
      <c r="KQB6"/>
      <c r="KQD6"/>
      <c r="KQF6"/>
      <c r="KQH6"/>
      <c r="KQJ6"/>
      <c r="KQL6"/>
      <c r="KQN6"/>
      <c r="KQP6"/>
      <c r="KQR6"/>
      <c r="KQT6"/>
      <c r="KQV6"/>
      <c r="KQX6"/>
      <c r="KQZ6"/>
      <c r="KRB6"/>
      <c r="KRD6"/>
      <c r="KRF6"/>
      <c r="KRH6"/>
      <c r="KRJ6"/>
      <c r="KRL6"/>
      <c r="KRN6"/>
      <c r="KRP6"/>
      <c r="KRR6"/>
      <c r="KRT6"/>
      <c r="KRV6"/>
      <c r="KRX6"/>
      <c r="KRZ6"/>
      <c r="KSB6"/>
      <c r="KSD6"/>
      <c r="KSF6"/>
      <c r="KSH6"/>
      <c r="KSJ6"/>
      <c r="KSL6"/>
      <c r="KSN6"/>
      <c r="KSP6"/>
      <c r="KSR6"/>
      <c r="KST6"/>
      <c r="KSV6"/>
      <c r="KSX6"/>
      <c r="KSZ6"/>
      <c r="KTB6"/>
      <c r="KTD6"/>
      <c r="KTF6"/>
      <c r="KTH6"/>
      <c r="KTJ6"/>
      <c r="KTL6"/>
      <c r="KTN6"/>
      <c r="KTP6"/>
      <c r="KTR6"/>
      <c r="KTT6"/>
      <c r="KTV6"/>
      <c r="KTX6"/>
      <c r="KTZ6"/>
      <c r="KUB6"/>
      <c r="KUD6"/>
      <c r="KUF6"/>
      <c r="KUH6"/>
      <c r="KUJ6"/>
      <c r="KUL6"/>
      <c r="KUN6"/>
      <c r="KUP6"/>
      <c r="KUR6"/>
      <c r="KUT6"/>
      <c r="KUV6"/>
      <c r="KUX6"/>
      <c r="KUZ6"/>
      <c r="KVB6"/>
      <c r="KVD6"/>
      <c r="KVF6"/>
      <c r="KVH6"/>
      <c r="KVJ6"/>
      <c r="KVL6"/>
      <c r="KVN6"/>
      <c r="KVP6"/>
      <c r="KVR6"/>
      <c r="KVT6"/>
      <c r="KVV6"/>
      <c r="KVX6"/>
      <c r="KVZ6"/>
      <c r="KWB6"/>
      <c r="KWD6"/>
      <c r="KWF6"/>
      <c r="KWH6"/>
      <c r="KWJ6"/>
      <c r="KWL6"/>
      <c r="KWN6"/>
      <c r="KWP6"/>
      <c r="KWR6"/>
      <c r="KWT6"/>
      <c r="KWV6"/>
      <c r="KWX6"/>
      <c r="KWZ6"/>
      <c r="KXB6"/>
      <c r="KXD6"/>
      <c r="KXF6"/>
      <c r="KXH6"/>
      <c r="KXJ6"/>
      <c r="KXL6"/>
      <c r="KXN6"/>
      <c r="KXP6"/>
      <c r="KXR6"/>
      <c r="KXT6"/>
      <c r="KXV6"/>
      <c r="KXX6"/>
      <c r="KXZ6"/>
      <c r="KYB6"/>
      <c r="KYD6"/>
      <c r="KYF6"/>
      <c r="KYH6"/>
      <c r="KYJ6"/>
      <c r="KYL6"/>
      <c r="KYN6"/>
      <c r="KYP6"/>
      <c r="KYR6"/>
      <c r="KYT6"/>
      <c r="KYV6"/>
      <c r="KYX6"/>
      <c r="KYZ6"/>
      <c r="KZB6"/>
      <c r="KZD6"/>
      <c r="KZF6"/>
      <c r="KZH6"/>
      <c r="KZJ6"/>
      <c r="KZL6"/>
      <c r="KZN6"/>
      <c r="KZP6"/>
      <c r="KZR6"/>
      <c r="KZT6"/>
      <c r="KZV6"/>
      <c r="KZX6"/>
      <c r="KZZ6"/>
      <c r="LAB6"/>
      <c r="LAD6"/>
      <c r="LAF6"/>
      <c r="LAH6"/>
      <c r="LAJ6"/>
      <c r="LAL6"/>
      <c r="LAN6"/>
      <c r="LAP6"/>
      <c r="LAR6"/>
      <c r="LAT6"/>
      <c r="LAV6"/>
      <c r="LAX6"/>
      <c r="LAZ6"/>
      <c r="LBB6"/>
      <c r="LBD6"/>
      <c r="LBF6"/>
      <c r="LBH6"/>
      <c r="LBJ6"/>
      <c r="LBL6"/>
      <c r="LBN6"/>
      <c r="LBP6"/>
      <c r="LBR6"/>
      <c r="LBT6"/>
      <c r="LBV6"/>
      <c r="LBX6"/>
      <c r="LBZ6"/>
      <c r="LCB6"/>
      <c r="LCD6"/>
      <c r="LCF6"/>
      <c r="LCH6"/>
      <c r="LCJ6"/>
      <c r="LCL6"/>
      <c r="LCN6"/>
      <c r="LCP6"/>
      <c r="LCR6"/>
      <c r="LCT6"/>
      <c r="LCV6"/>
      <c r="LCX6"/>
      <c r="LCZ6"/>
      <c r="LDB6"/>
      <c r="LDD6"/>
      <c r="LDF6"/>
      <c r="LDH6"/>
      <c r="LDJ6"/>
      <c r="LDL6"/>
      <c r="LDN6"/>
      <c r="LDP6"/>
      <c r="LDR6"/>
      <c r="LDT6"/>
      <c r="LDV6"/>
      <c r="LDX6"/>
      <c r="LDZ6"/>
      <c r="LEB6"/>
      <c r="LED6"/>
      <c r="LEF6"/>
      <c r="LEH6"/>
      <c r="LEJ6"/>
      <c r="LEL6"/>
      <c r="LEN6"/>
      <c r="LEP6"/>
      <c r="LER6"/>
      <c r="LET6"/>
      <c r="LEV6"/>
      <c r="LEX6"/>
      <c r="LEZ6"/>
      <c r="LFB6"/>
      <c r="LFD6"/>
      <c r="LFF6"/>
      <c r="LFH6"/>
      <c r="LFJ6"/>
      <c r="LFL6"/>
      <c r="LFN6"/>
      <c r="LFP6"/>
      <c r="LFR6"/>
      <c r="LFT6"/>
      <c r="LFV6"/>
      <c r="LFX6"/>
      <c r="LFZ6"/>
      <c r="LGB6"/>
      <c r="LGD6"/>
      <c r="LGF6"/>
      <c r="LGH6"/>
      <c r="LGJ6"/>
      <c r="LGL6"/>
      <c r="LGN6"/>
      <c r="LGP6"/>
      <c r="LGR6"/>
      <c r="LGT6"/>
      <c r="LGV6"/>
      <c r="LGX6"/>
      <c r="LGZ6"/>
      <c r="LHB6"/>
      <c r="LHD6"/>
      <c r="LHF6"/>
      <c r="LHH6"/>
      <c r="LHJ6"/>
      <c r="LHL6"/>
      <c r="LHN6"/>
      <c r="LHP6"/>
      <c r="LHR6"/>
      <c r="LHT6"/>
      <c r="LHV6"/>
      <c r="LHX6"/>
      <c r="LHZ6"/>
      <c r="LIB6"/>
      <c r="LID6"/>
      <c r="LIF6"/>
      <c r="LIH6"/>
      <c r="LIJ6"/>
      <c r="LIL6"/>
      <c r="LIN6"/>
      <c r="LIP6"/>
      <c r="LIR6"/>
      <c r="LIT6"/>
      <c r="LIV6"/>
      <c r="LIX6"/>
      <c r="LIZ6"/>
      <c r="LJB6"/>
      <c r="LJD6"/>
      <c r="LJF6"/>
      <c r="LJH6"/>
      <c r="LJJ6"/>
      <c r="LJL6"/>
      <c r="LJN6"/>
      <c r="LJP6"/>
      <c r="LJR6"/>
      <c r="LJT6"/>
      <c r="LJV6"/>
      <c r="LJX6"/>
      <c r="LJZ6"/>
      <c r="LKB6"/>
      <c r="LKD6"/>
      <c r="LKF6"/>
      <c r="LKH6"/>
      <c r="LKJ6"/>
      <c r="LKL6"/>
      <c r="LKN6"/>
      <c r="LKP6"/>
      <c r="LKR6"/>
      <c r="LKT6"/>
      <c r="LKV6"/>
      <c r="LKX6"/>
      <c r="LKZ6"/>
      <c r="LLB6"/>
      <c r="LLD6"/>
      <c r="LLF6"/>
      <c r="LLH6"/>
      <c r="LLJ6"/>
      <c r="LLL6"/>
      <c r="LLN6"/>
      <c r="LLP6"/>
      <c r="LLR6"/>
      <c r="LLT6"/>
      <c r="LLV6"/>
      <c r="LLX6"/>
      <c r="LLZ6"/>
      <c r="LMB6"/>
      <c r="LMD6"/>
      <c r="LMF6"/>
      <c r="LMH6"/>
      <c r="LMJ6"/>
      <c r="LML6"/>
      <c r="LMN6"/>
      <c r="LMP6"/>
      <c r="LMR6"/>
      <c r="LMT6"/>
      <c r="LMV6"/>
      <c r="LMX6"/>
      <c r="LMZ6"/>
      <c r="LNB6"/>
      <c r="LND6"/>
      <c r="LNF6"/>
      <c r="LNH6"/>
      <c r="LNJ6"/>
      <c r="LNL6"/>
      <c r="LNN6"/>
      <c r="LNP6"/>
      <c r="LNR6"/>
      <c r="LNT6"/>
      <c r="LNV6"/>
      <c r="LNX6"/>
      <c r="LNZ6"/>
      <c r="LOB6"/>
      <c r="LOD6"/>
      <c r="LOF6"/>
      <c r="LOH6"/>
      <c r="LOJ6"/>
      <c r="LOL6"/>
      <c r="LON6"/>
      <c r="LOP6"/>
      <c r="LOR6"/>
      <c r="LOT6"/>
      <c r="LOV6"/>
      <c r="LOX6"/>
      <c r="LOZ6"/>
      <c r="LPB6"/>
      <c r="LPD6"/>
      <c r="LPF6"/>
      <c r="LPH6"/>
      <c r="LPJ6"/>
      <c r="LPL6"/>
      <c r="LPN6"/>
      <c r="LPP6"/>
      <c r="LPR6"/>
      <c r="LPT6"/>
      <c r="LPV6"/>
      <c r="LPX6"/>
      <c r="LPZ6"/>
      <c r="LQB6"/>
      <c r="LQD6"/>
      <c r="LQF6"/>
      <c r="LQH6"/>
      <c r="LQJ6"/>
      <c r="LQL6"/>
      <c r="LQN6"/>
      <c r="LQP6"/>
      <c r="LQR6"/>
      <c r="LQT6"/>
      <c r="LQV6"/>
      <c r="LQX6"/>
      <c r="LQZ6"/>
      <c r="LRB6"/>
      <c r="LRD6"/>
      <c r="LRF6"/>
      <c r="LRH6"/>
      <c r="LRJ6"/>
      <c r="LRL6"/>
      <c r="LRN6"/>
      <c r="LRP6"/>
      <c r="LRR6"/>
      <c r="LRT6"/>
      <c r="LRV6"/>
      <c r="LRX6"/>
      <c r="LRZ6"/>
      <c r="LSB6"/>
      <c r="LSD6"/>
      <c r="LSF6"/>
      <c r="LSH6"/>
      <c r="LSJ6"/>
      <c r="LSL6"/>
      <c r="LSN6"/>
      <c r="LSP6"/>
      <c r="LSR6"/>
      <c r="LST6"/>
      <c r="LSV6"/>
      <c r="LSX6"/>
      <c r="LSZ6"/>
      <c r="LTB6"/>
      <c r="LTD6"/>
      <c r="LTF6"/>
      <c r="LTH6"/>
      <c r="LTJ6"/>
      <c r="LTL6"/>
      <c r="LTN6"/>
      <c r="LTP6"/>
      <c r="LTR6"/>
      <c r="LTT6"/>
      <c r="LTV6"/>
      <c r="LTX6"/>
      <c r="LTZ6"/>
      <c r="LUB6"/>
      <c r="LUD6"/>
      <c r="LUF6"/>
      <c r="LUH6"/>
      <c r="LUJ6"/>
      <c r="LUL6"/>
      <c r="LUN6"/>
      <c r="LUP6"/>
      <c r="LUR6"/>
      <c r="LUT6"/>
      <c r="LUV6"/>
      <c r="LUX6"/>
      <c r="LUZ6"/>
      <c r="LVB6"/>
      <c r="LVD6"/>
      <c r="LVF6"/>
      <c r="LVH6"/>
      <c r="LVJ6"/>
      <c r="LVL6"/>
      <c r="LVN6"/>
      <c r="LVP6"/>
      <c r="LVR6"/>
      <c r="LVT6"/>
      <c r="LVV6"/>
      <c r="LVX6"/>
      <c r="LVZ6"/>
      <c r="LWB6"/>
      <c r="LWD6"/>
      <c r="LWF6"/>
      <c r="LWH6"/>
      <c r="LWJ6"/>
      <c r="LWL6"/>
      <c r="LWN6"/>
      <c r="LWP6"/>
      <c r="LWR6"/>
      <c r="LWT6"/>
      <c r="LWV6"/>
      <c r="LWX6"/>
      <c r="LWZ6"/>
      <c r="LXB6"/>
      <c r="LXD6"/>
      <c r="LXF6"/>
      <c r="LXH6"/>
      <c r="LXJ6"/>
      <c r="LXL6"/>
      <c r="LXN6"/>
      <c r="LXP6"/>
      <c r="LXR6"/>
      <c r="LXT6"/>
      <c r="LXV6"/>
      <c r="LXX6"/>
      <c r="LXZ6"/>
      <c r="LYB6"/>
      <c r="LYD6"/>
      <c r="LYF6"/>
      <c r="LYH6"/>
      <c r="LYJ6"/>
      <c r="LYL6"/>
      <c r="LYN6"/>
      <c r="LYP6"/>
      <c r="LYR6"/>
      <c r="LYT6"/>
      <c r="LYV6"/>
      <c r="LYX6"/>
      <c r="LYZ6"/>
      <c r="LZB6"/>
      <c r="LZD6"/>
      <c r="LZF6"/>
      <c r="LZH6"/>
      <c r="LZJ6"/>
      <c r="LZL6"/>
      <c r="LZN6"/>
      <c r="LZP6"/>
      <c r="LZR6"/>
      <c r="LZT6"/>
      <c r="LZV6"/>
      <c r="LZX6"/>
      <c r="LZZ6"/>
      <c r="MAB6"/>
      <c r="MAD6"/>
      <c r="MAF6"/>
      <c r="MAH6"/>
      <c r="MAJ6"/>
      <c r="MAL6"/>
      <c r="MAN6"/>
      <c r="MAP6"/>
      <c r="MAR6"/>
      <c r="MAT6"/>
      <c r="MAV6"/>
      <c r="MAX6"/>
      <c r="MAZ6"/>
      <c r="MBB6"/>
      <c r="MBD6"/>
      <c r="MBF6"/>
      <c r="MBH6"/>
      <c r="MBJ6"/>
      <c r="MBL6"/>
      <c r="MBN6"/>
      <c r="MBP6"/>
      <c r="MBR6"/>
      <c r="MBT6"/>
      <c r="MBV6"/>
      <c r="MBX6"/>
      <c r="MBZ6"/>
      <c r="MCB6"/>
      <c r="MCD6"/>
      <c r="MCF6"/>
      <c r="MCH6"/>
      <c r="MCJ6"/>
      <c r="MCL6"/>
      <c r="MCN6"/>
      <c r="MCP6"/>
      <c r="MCR6"/>
      <c r="MCT6"/>
      <c r="MCV6"/>
      <c r="MCX6"/>
      <c r="MCZ6"/>
      <c r="MDB6"/>
      <c r="MDD6"/>
      <c r="MDF6"/>
      <c r="MDH6"/>
      <c r="MDJ6"/>
      <c r="MDL6"/>
      <c r="MDN6"/>
      <c r="MDP6"/>
      <c r="MDR6"/>
      <c r="MDT6"/>
      <c r="MDV6"/>
      <c r="MDX6"/>
      <c r="MDZ6"/>
      <c r="MEB6"/>
      <c r="MED6"/>
      <c r="MEF6"/>
      <c r="MEH6"/>
      <c r="MEJ6"/>
      <c r="MEL6"/>
      <c r="MEN6"/>
      <c r="MEP6"/>
      <c r="MER6"/>
      <c r="MET6"/>
      <c r="MEV6"/>
      <c r="MEX6"/>
      <c r="MEZ6"/>
      <c r="MFB6"/>
      <c r="MFD6"/>
      <c r="MFF6"/>
      <c r="MFH6"/>
      <c r="MFJ6"/>
      <c r="MFL6"/>
      <c r="MFN6"/>
      <c r="MFP6"/>
      <c r="MFR6"/>
      <c r="MFT6"/>
      <c r="MFV6"/>
      <c r="MFX6"/>
      <c r="MFZ6"/>
      <c r="MGB6"/>
      <c r="MGD6"/>
      <c r="MGF6"/>
      <c r="MGH6"/>
      <c r="MGJ6"/>
      <c r="MGL6"/>
      <c r="MGN6"/>
      <c r="MGP6"/>
      <c r="MGR6"/>
      <c r="MGT6"/>
      <c r="MGV6"/>
      <c r="MGX6"/>
      <c r="MGZ6"/>
      <c r="MHB6"/>
      <c r="MHD6"/>
      <c r="MHF6"/>
      <c r="MHH6"/>
      <c r="MHJ6"/>
      <c r="MHL6"/>
      <c r="MHN6"/>
      <c r="MHP6"/>
      <c r="MHR6"/>
      <c r="MHT6"/>
      <c r="MHV6"/>
      <c r="MHX6"/>
      <c r="MHZ6"/>
      <c r="MIB6"/>
      <c r="MID6"/>
      <c r="MIF6"/>
      <c r="MIH6"/>
      <c r="MIJ6"/>
      <c r="MIL6"/>
      <c r="MIN6"/>
      <c r="MIP6"/>
      <c r="MIR6"/>
      <c r="MIT6"/>
      <c r="MIV6"/>
      <c r="MIX6"/>
      <c r="MIZ6"/>
      <c r="MJB6"/>
      <c r="MJD6"/>
      <c r="MJF6"/>
      <c r="MJH6"/>
      <c r="MJJ6"/>
      <c r="MJL6"/>
      <c r="MJN6"/>
      <c r="MJP6"/>
      <c r="MJR6"/>
      <c r="MJT6"/>
      <c r="MJV6"/>
      <c r="MJX6"/>
      <c r="MJZ6"/>
      <c r="MKB6"/>
      <c r="MKD6"/>
      <c r="MKF6"/>
      <c r="MKH6"/>
      <c r="MKJ6"/>
      <c r="MKL6"/>
      <c r="MKN6"/>
      <c r="MKP6"/>
      <c r="MKR6"/>
      <c r="MKT6"/>
      <c r="MKV6"/>
      <c r="MKX6"/>
      <c r="MKZ6"/>
      <c r="MLB6"/>
      <c r="MLD6"/>
      <c r="MLF6"/>
      <c r="MLH6"/>
      <c r="MLJ6"/>
      <c r="MLL6"/>
      <c r="MLN6"/>
      <c r="MLP6"/>
      <c r="MLR6"/>
      <c r="MLT6"/>
      <c r="MLV6"/>
      <c r="MLX6"/>
      <c r="MLZ6"/>
      <c r="MMB6"/>
      <c r="MMD6"/>
      <c r="MMF6"/>
      <c r="MMH6"/>
      <c r="MMJ6"/>
      <c r="MML6"/>
      <c r="MMN6"/>
      <c r="MMP6"/>
      <c r="MMR6"/>
      <c r="MMT6"/>
      <c r="MMV6"/>
      <c r="MMX6"/>
      <c r="MMZ6"/>
      <c r="MNB6"/>
      <c r="MND6"/>
      <c r="MNF6"/>
      <c r="MNH6"/>
      <c r="MNJ6"/>
      <c r="MNL6"/>
      <c r="MNN6"/>
      <c r="MNP6"/>
      <c r="MNR6"/>
      <c r="MNT6"/>
      <c r="MNV6"/>
      <c r="MNX6"/>
      <c r="MNZ6"/>
      <c r="MOB6"/>
      <c r="MOD6"/>
      <c r="MOF6"/>
      <c r="MOH6"/>
      <c r="MOJ6"/>
      <c r="MOL6"/>
      <c r="MON6"/>
      <c r="MOP6"/>
      <c r="MOR6"/>
      <c r="MOT6"/>
      <c r="MOV6"/>
      <c r="MOX6"/>
      <c r="MOZ6"/>
      <c r="MPB6"/>
      <c r="MPD6"/>
      <c r="MPF6"/>
      <c r="MPH6"/>
      <c r="MPJ6"/>
      <c r="MPL6"/>
      <c r="MPN6"/>
      <c r="MPP6"/>
      <c r="MPR6"/>
      <c r="MPT6"/>
      <c r="MPV6"/>
      <c r="MPX6"/>
      <c r="MPZ6"/>
      <c r="MQB6"/>
      <c r="MQD6"/>
      <c r="MQF6"/>
      <c r="MQH6"/>
      <c r="MQJ6"/>
      <c r="MQL6"/>
      <c r="MQN6"/>
      <c r="MQP6"/>
      <c r="MQR6"/>
      <c r="MQT6"/>
      <c r="MQV6"/>
      <c r="MQX6"/>
      <c r="MQZ6"/>
      <c r="MRB6"/>
      <c r="MRD6"/>
      <c r="MRF6"/>
      <c r="MRH6"/>
      <c r="MRJ6"/>
      <c r="MRL6"/>
      <c r="MRN6"/>
      <c r="MRP6"/>
      <c r="MRR6"/>
      <c r="MRT6"/>
      <c r="MRV6"/>
      <c r="MRX6"/>
      <c r="MRZ6"/>
      <c r="MSB6"/>
      <c r="MSD6"/>
      <c r="MSF6"/>
      <c r="MSH6"/>
      <c r="MSJ6"/>
      <c r="MSL6"/>
      <c r="MSN6"/>
      <c r="MSP6"/>
      <c r="MSR6"/>
      <c r="MST6"/>
      <c r="MSV6"/>
      <c r="MSX6"/>
      <c r="MSZ6"/>
      <c r="MTB6"/>
      <c r="MTD6"/>
      <c r="MTF6"/>
      <c r="MTH6"/>
      <c r="MTJ6"/>
      <c r="MTL6"/>
      <c r="MTN6"/>
      <c r="MTP6"/>
      <c r="MTR6"/>
      <c r="MTT6"/>
      <c r="MTV6"/>
      <c r="MTX6"/>
      <c r="MTZ6"/>
      <c r="MUB6"/>
      <c r="MUD6"/>
      <c r="MUF6"/>
      <c r="MUH6"/>
      <c r="MUJ6"/>
      <c r="MUL6"/>
      <c r="MUN6"/>
      <c r="MUP6"/>
      <c r="MUR6"/>
      <c r="MUT6"/>
      <c r="MUV6"/>
      <c r="MUX6"/>
      <c r="MUZ6"/>
      <c r="MVB6"/>
      <c r="MVD6"/>
      <c r="MVF6"/>
      <c r="MVH6"/>
      <c r="MVJ6"/>
      <c r="MVL6"/>
      <c r="MVN6"/>
      <c r="MVP6"/>
      <c r="MVR6"/>
      <c r="MVT6"/>
      <c r="MVV6"/>
      <c r="MVX6"/>
      <c r="MVZ6"/>
      <c r="MWB6"/>
      <c r="MWD6"/>
      <c r="MWF6"/>
      <c r="MWH6"/>
      <c r="MWJ6"/>
      <c r="MWL6"/>
      <c r="MWN6"/>
      <c r="MWP6"/>
      <c r="MWR6"/>
      <c r="MWT6"/>
      <c r="MWV6"/>
      <c r="MWX6"/>
      <c r="MWZ6"/>
      <c r="MXB6"/>
      <c r="MXD6"/>
      <c r="MXF6"/>
      <c r="MXH6"/>
      <c r="MXJ6"/>
      <c r="MXL6"/>
      <c r="MXN6"/>
      <c r="MXP6"/>
      <c r="MXR6"/>
      <c r="MXT6"/>
      <c r="MXV6"/>
      <c r="MXX6"/>
      <c r="MXZ6"/>
      <c r="MYB6"/>
      <c r="MYD6"/>
      <c r="MYF6"/>
      <c r="MYH6"/>
      <c r="MYJ6"/>
      <c r="MYL6"/>
      <c r="MYN6"/>
      <c r="MYP6"/>
      <c r="MYR6"/>
      <c r="MYT6"/>
      <c r="MYV6"/>
      <c r="MYX6"/>
      <c r="MYZ6"/>
      <c r="MZB6"/>
      <c r="MZD6"/>
      <c r="MZF6"/>
      <c r="MZH6"/>
      <c r="MZJ6"/>
      <c r="MZL6"/>
      <c r="MZN6"/>
      <c r="MZP6"/>
      <c r="MZR6"/>
      <c r="MZT6"/>
      <c r="MZV6"/>
      <c r="MZX6"/>
      <c r="MZZ6"/>
      <c r="NAB6"/>
      <c r="NAD6"/>
      <c r="NAF6"/>
      <c r="NAH6"/>
      <c r="NAJ6"/>
      <c r="NAL6"/>
      <c r="NAN6"/>
      <c r="NAP6"/>
      <c r="NAR6"/>
      <c r="NAT6"/>
      <c r="NAV6"/>
      <c r="NAX6"/>
      <c r="NAZ6"/>
      <c r="NBB6"/>
      <c r="NBD6"/>
      <c r="NBF6"/>
      <c r="NBH6"/>
      <c r="NBJ6"/>
      <c r="NBL6"/>
      <c r="NBN6"/>
      <c r="NBP6"/>
      <c r="NBR6"/>
      <c r="NBT6"/>
      <c r="NBV6"/>
      <c r="NBX6"/>
      <c r="NBZ6"/>
      <c r="NCB6"/>
      <c r="NCD6"/>
      <c r="NCF6"/>
      <c r="NCH6"/>
      <c r="NCJ6"/>
      <c r="NCL6"/>
      <c r="NCN6"/>
      <c r="NCP6"/>
      <c r="NCR6"/>
      <c r="NCT6"/>
      <c r="NCV6"/>
      <c r="NCX6"/>
      <c r="NCZ6"/>
      <c r="NDB6"/>
      <c r="NDD6"/>
      <c r="NDF6"/>
      <c r="NDH6"/>
      <c r="NDJ6"/>
      <c r="NDL6"/>
      <c r="NDN6"/>
      <c r="NDP6"/>
      <c r="NDR6"/>
      <c r="NDT6"/>
      <c r="NDV6"/>
      <c r="NDX6"/>
      <c r="NDZ6"/>
      <c r="NEB6"/>
      <c r="NED6"/>
      <c r="NEF6"/>
      <c r="NEH6"/>
      <c r="NEJ6"/>
      <c r="NEL6"/>
      <c r="NEN6"/>
      <c r="NEP6"/>
      <c r="NER6"/>
      <c r="NET6"/>
      <c r="NEV6"/>
      <c r="NEX6"/>
      <c r="NEZ6"/>
      <c r="NFB6"/>
      <c r="NFD6"/>
      <c r="NFF6"/>
      <c r="NFH6"/>
      <c r="NFJ6"/>
      <c r="NFL6"/>
      <c r="NFN6"/>
      <c r="NFP6"/>
      <c r="NFR6"/>
      <c r="NFT6"/>
      <c r="NFV6"/>
      <c r="NFX6"/>
      <c r="NFZ6"/>
      <c r="NGB6"/>
      <c r="NGD6"/>
      <c r="NGF6"/>
      <c r="NGH6"/>
      <c r="NGJ6"/>
      <c r="NGL6"/>
      <c r="NGN6"/>
      <c r="NGP6"/>
      <c r="NGR6"/>
      <c r="NGT6"/>
      <c r="NGV6"/>
      <c r="NGX6"/>
      <c r="NGZ6"/>
      <c r="NHB6"/>
      <c r="NHD6"/>
      <c r="NHF6"/>
      <c r="NHH6"/>
      <c r="NHJ6"/>
      <c r="NHL6"/>
      <c r="NHN6"/>
      <c r="NHP6"/>
      <c r="NHR6"/>
      <c r="NHT6"/>
      <c r="NHV6"/>
      <c r="NHX6"/>
      <c r="NHZ6"/>
      <c r="NIB6"/>
      <c r="NID6"/>
      <c r="NIF6"/>
      <c r="NIH6"/>
      <c r="NIJ6"/>
      <c r="NIL6"/>
      <c r="NIN6"/>
      <c r="NIP6"/>
      <c r="NIR6"/>
      <c r="NIT6"/>
      <c r="NIV6"/>
      <c r="NIX6"/>
      <c r="NIZ6"/>
      <c r="NJB6"/>
      <c r="NJD6"/>
      <c r="NJF6"/>
      <c r="NJH6"/>
      <c r="NJJ6"/>
      <c r="NJL6"/>
      <c r="NJN6"/>
      <c r="NJP6"/>
      <c r="NJR6"/>
      <c r="NJT6"/>
      <c r="NJV6"/>
      <c r="NJX6"/>
      <c r="NJZ6"/>
      <c r="NKB6"/>
      <c r="NKD6"/>
      <c r="NKF6"/>
      <c r="NKH6"/>
      <c r="NKJ6"/>
      <c r="NKL6"/>
      <c r="NKN6"/>
      <c r="NKP6"/>
      <c r="NKR6"/>
      <c r="NKT6"/>
      <c r="NKV6"/>
      <c r="NKX6"/>
      <c r="NKZ6"/>
      <c r="NLB6"/>
      <c r="NLD6"/>
      <c r="NLF6"/>
      <c r="NLH6"/>
      <c r="NLJ6"/>
      <c r="NLL6"/>
      <c r="NLN6"/>
      <c r="NLP6"/>
      <c r="NLR6"/>
      <c r="NLT6"/>
      <c r="NLV6"/>
      <c r="NLX6"/>
      <c r="NLZ6"/>
      <c r="NMB6"/>
      <c r="NMD6"/>
      <c r="NMF6"/>
      <c r="NMH6"/>
      <c r="NMJ6"/>
      <c r="NML6"/>
      <c r="NMN6"/>
      <c r="NMP6"/>
      <c r="NMR6"/>
      <c r="NMT6"/>
      <c r="NMV6"/>
      <c r="NMX6"/>
      <c r="NMZ6"/>
      <c r="NNB6"/>
      <c r="NND6"/>
      <c r="NNF6"/>
      <c r="NNH6"/>
      <c r="NNJ6"/>
      <c r="NNL6"/>
      <c r="NNN6"/>
      <c r="NNP6"/>
      <c r="NNR6"/>
      <c r="NNT6"/>
      <c r="NNV6"/>
      <c r="NNX6"/>
      <c r="NNZ6"/>
      <c r="NOB6"/>
      <c r="NOD6"/>
      <c r="NOF6"/>
      <c r="NOH6"/>
      <c r="NOJ6"/>
      <c r="NOL6"/>
      <c r="NON6"/>
      <c r="NOP6"/>
      <c r="NOR6"/>
      <c r="NOT6"/>
      <c r="NOV6"/>
      <c r="NOX6"/>
      <c r="NOZ6"/>
      <c r="NPB6"/>
      <c r="NPD6"/>
      <c r="NPF6"/>
      <c r="NPH6"/>
      <c r="NPJ6"/>
      <c r="NPL6"/>
      <c r="NPN6"/>
      <c r="NPP6"/>
      <c r="NPR6"/>
      <c r="NPT6"/>
      <c r="NPV6"/>
      <c r="NPX6"/>
      <c r="NPZ6"/>
      <c r="NQB6"/>
      <c r="NQD6"/>
      <c r="NQF6"/>
      <c r="NQH6"/>
      <c r="NQJ6"/>
      <c r="NQL6"/>
      <c r="NQN6"/>
      <c r="NQP6"/>
      <c r="NQR6"/>
      <c r="NQT6"/>
      <c r="NQV6"/>
      <c r="NQX6"/>
      <c r="NQZ6"/>
      <c r="NRB6"/>
      <c r="NRD6"/>
      <c r="NRF6"/>
      <c r="NRH6"/>
      <c r="NRJ6"/>
      <c r="NRL6"/>
      <c r="NRN6"/>
      <c r="NRP6"/>
      <c r="NRR6"/>
      <c r="NRT6"/>
      <c r="NRV6"/>
      <c r="NRX6"/>
      <c r="NRZ6"/>
      <c r="NSB6"/>
      <c r="NSD6"/>
      <c r="NSF6"/>
      <c r="NSH6"/>
      <c r="NSJ6"/>
      <c r="NSL6"/>
      <c r="NSN6"/>
      <c r="NSP6"/>
      <c r="NSR6"/>
      <c r="NST6"/>
      <c r="NSV6"/>
      <c r="NSX6"/>
      <c r="NSZ6"/>
      <c r="NTB6"/>
      <c r="NTD6"/>
      <c r="NTF6"/>
      <c r="NTH6"/>
      <c r="NTJ6"/>
      <c r="NTL6"/>
      <c r="NTN6"/>
      <c r="NTP6"/>
      <c r="NTR6"/>
      <c r="NTT6"/>
      <c r="NTV6"/>
      <c r="NTX6"/>
      <c r="NTZ6"/>
      <c r="NUB6"/>
      <c r="NUD6"/>
      <c r="NUF6"/>
      <c r="NUH6"/>
      <c r="NUJ6"/>
      <c r="NUL6"/>
      <c r="NUN6"/>
      <c r="NUP6"/>
      <c r="NUR6"/>
      <c r="NUT6"/>
      <c r="NUV6"/>
      <c r="NUX6"/>
      <c r="NUZ6"/>
      <c r="NVB6"/>
      <c r="NVD6"/>
      <c r="NVF6"/>
      <c r="NVH6"/>
      <c r="NVJ6"/>
      <c r="NVL6"/>
      <c r="NVN6"/>
      <c r="NVP6"/>
      <c r="NVR6"/>
      <c r="NVT6"/>
      <c r="NVV6"/>
      <c r="NVX6"/>
      <c r="NVZ6"/>
      <c r="NWB6"/>
      <c r="NWD6"/>
      <c r="NWF6"/>
      <c r="NWH6"/>
      <c r="NWJ6"/>
      <c r="NWL6"/>
      <c r="NWN6"/>
      <c r="NWP6"/>
      <c r="NWR6"/>
      <c r="NWT6"/>
      <c r="NWV6"/>
      <c r="NWX6"/>
      <c r="NWZ6"/>
      <c r="NXB6"/>
      <c r="NXD6"/>
      <c r="NXF6"/>
      <c r="NXH6"/>
      <c r="NXJ6"/>
      <c r="NXL6"/>
      <c r="NXN6"/>
      <c r="NXP6"/>
      <c r="NXR6"/>
      <c r="NXT6"/>
      <c r="NXV6"/>
      <c r="NXX6"/>
      <c r="NXZ6"/>
      <c r="NYB6"/>
      <c r="NYD6"/>
      <c r="NYF6"/>
      <c r="NYH6"/>
      <c r="NYJ6"/>
      <c r="NYL6"/>
      <c r="NYN6"/>
      <c r="NYP6"/>
      <c r="NYR6"/>
      <c r="NYT6"/>
      <c r="NYV6"/>
      <c r="NYX6"/>
      <c r="NYZ6"/>
      <c r="NZB6"/>
      <c r="NZD6"/>
      <c r="NZF6"/>
      <c r="NZH6"/>
      <c r="NZJ6"/>
      <c r="NZL6"/>
      <c r="NZN6"/>
      <c r="NZP6"/>
      <c r="NZR6"/>
      <c r="NZT6"/>
      <c r="NZV6"/>
      <c r="NZX6"/>
      <c r="NZZ6"/>
      <c r="OAB6"/>
      <c r="OAD6"/>
      <c r="OAF6"/>
      <c r="OAH6"/>
      <c r="OAJ6"/>
      <c r="OAL6"/>
      <c r="OAN6"/>
      <c r="OAP6"/>
      <c r="OAR6"/>
      <c r="OAT6"/>
      <c r="OAV6"/>
      <c r="OAX6"/>
      <c r="OAZ6"/>
      <c r="OBB6"/>
      <c r="OBD6"/>
      <c r="OBF6"/>
      <c r="OBH6"/>
      <c r="OBJ6"/>
      <c r="OBL6"/>
      <c r="OBN6"/>
      <c r="OBP6"/>
      <c r="OBR6"/>
      <c r="OBT6"/>
      <c r="OBV6"/>
      <c r="OBX6"/>
      <c r="OBZ6"/>
      <c r="OCB6"/>
      <c r="OCD6"/>
      <c r="OCF6"/>
      <c r="OCH6"/>
      <c r="OCJ6"/>
      <c r="OCL6"/>
      <c r="OCN6"/>
      <c r="OCP6"/>
      <c r="OCR6"/>
      <c r="OCT6"/>
      <c r="OCV6"/>
      <c r="OCX6"/>
      <c r="OCZ6"/>
      <c r="ODB6"/>
      <c r="ODD6"/>
      <c r="ODF6"/>
      <c r="ODH6"/>
      <c r="ODJ6"/>
      <c r="ODL6"/>
      <c r="ODN6"/>
      <c r="ODP6"/>
      <c r="ODR6"/>
      <c r="ODT6"/>
      <c r="ODV6"/>
      <c r="ODX6"/>
      <c r="ODZ6"/>
      <c r="OEB6"/>
      <c r="OED6"/>
      <c r="OEF6"/>
      <c r="OEH6"/>
      <c r="OEJ6"/>
      <c r="OEL6"/>
      <c r="OEN6"/>
      <c r="OEP6"/>
      <c r="OER6"/>
      <c r="OET6"/>
      <c r="OEV6"/>
      <c r="OEX6"/>
      <c r="OEZ6"/>
      <c r="OFB6"/>
      <c r="OFD6"/>
      <c r="OFF6"/>
      <c r="OFH6"/>
      <c r="OFJ6"/>
      <c r="OFL6"/>
      <c r="OFN6"/>
      <c r="OFP6"/>
      <c r="OFR6"/>
      <c r="OFT6"/>
      <c r="OFV6"/>
      <c r="OFX6"/>
      <c r="OFZ6"/>
      <c r="OGB6"/>
      <c r="OGD6"/>
      <c r="OGF6"/>
      <c r="OGH6"/>
      <c r="OGJ6"/>
      <c r="OGL6"/>
      <c r="OGN6"/>
      <c r="OGP6"/>
      <c r="OGR6"/>
      <c r="OGT6"/>
      <c r="OGV6"/>
      <c r="OGX6"/>
      <c r="OGZ6"/>
      <c r="OHB6"/>
      <c r="OHD6"/>
      <c r="OHF6"/>
      <c r="OHH6"/>
      <c r="OHJ6"/>
      <c r="OHL6"/>
      <c r="OHN6"/>
      <c r="OHP6"/>
      <c r="OHR6"/>
      <c r="OHT6"/>
      <c r="OHV6"/>
      <c r="OHX6"/>
      <c r="OHZ6"/>
      <c r="OIB6"/>
      <c r="OID6"/>
      <c r="OIF6"/>
      <c r="OIH6"/>
      <c r="OIJ6"/>
      <c r="OIL6"/>
      <c r="OIN6"/>
      <c r="OIP6"/>
      <c r="OIR6"/>
      <c r="OIT6"/>
      <c r="OIV6"/>
      <c r="OIX6"/>
      <c r="OIZ6"/>
      <c r="OJB6"/>
      <c r="OJD6"/>
      <c r="OJF6"/>
      <c r="OJH6"/>
      <c r="OJJ6"/>
      <c r="OJL6"/>
      <c r="OJN6"/>
      <c r="OJP6"/>
      <c r="OJR6"/>
      <c r="OJT6"/>
      <c r="OJV6"/>
      <c r="OJX6"/>
      <c r="OJZ6"/>
      <c r="OKB6"/>
      <c r="OKD6"/>
      <c r="OKF6"/>
      <c r="OKH6"/>
      <c r="OKJ6"/>
      <c r="OKL6"/>
      <c r="OKN6"/>
      <c r="OKP6"/>
      <c r="OKR6"/>
      <c r="OKT6"/>
      <c r="OKV6"/>
      <c r="OKX6"/>
      <c r="OKZ6"/>
      <c r="OLB6"/>
      <c r="OLD6"/>
      <c r="OLF6"/>
      <c r="OLH6"/>
      <c r="OLJ6"/>
      <c r="OLL6"/>
      <c r="OLN6"/>
      <c r="OLP6"/>
      <c r="OLR6"/>
      <c r="OLT6"/>
      <c r="OLV6"/>
      <c r="OLX6"/>
      <c r="OLZ6"/>
      <c r="OMB6"/>
      <c r="OMD6"/>
      <c r="OMF6"/>
      <c r="OMH6"/>
      <c r="OMJ6"/>
      <c r="OML6"/>
      <c r="OMN6"/>
      <c r="OMP6"/>
      <c r="OMR6"/>
      <c r="OMT6"/>
      <c r="OMV6"/>
      <c r="OMX6"/>
      <c r="OMZ6"/>
      <c r="ONB6"/>
      <c r="OND6"/>
      <c r="ONF6"/>
      <c r="ONH6"/>
      <c r="ONJ6"/>
      <c r="ONL6"/>
      <c r="ONN6"/>
      <c r="ONP6"/>
      <c r="ONR6"/>
      <c r="ONT6"/>
      <c r="ONV6"/>
      <c r="ONX6"/>
      <c r="ONZ6"/>
      <c r="OOB6"/>
      <c r="OOD6"/>
      <c r="OOF6"/>
      <c r="OOH6"/>
      <c r="OOJ6"/>
      <c r="OOL6"/>
      <c r="OON6"/>
      <c r="OOP6"/>
      <c r="OOR6"/>
      <c r="OOT6"/>
      <c r="OOV6"/>
      <c r="OOX6"/>
      <c r="OOZ6"/>
      <c r="OPB6"/>
      <c r="OPD6"/>
      <c r="OPF6"/>
      <c r="OPH6"/>
      <c r="OPJ6"/>
      <c r="OPL6"/>
      <c r="OPN6"/>
      <c r="OPP6"/>
      <c r="OPR6"/>
      <c r="OPT6"/>
      <c r="OPV6"/>
      <c r="OPX6"/>
      <c r="OPZ6"/>
      <c r="OQB6"/>
      <c r="OQD6"/>
      <c r="OQF6"/>
      <c r="OQH6"/>
      <c r="OQJ6"/>
      <c r="OQL6"/>
      <c r="OQN6"/>
      <c r="OQP6"/>
      <c r="OQR6"/>
      <c r="OQT6"/>
      <c r="OQV6"/>
      <c r="OQX6"/>
      <c r="OQZ6"/>
      <c r="ORB6"/>
      <c r="ORD6"/>
      <c r="ORF6"/>
      <c r="ORH6"/>
      <c r="ORJ6"/>
      <c r="ORL6"/>
      <c r="ORN6"/>
      <c r="ORP6"/>
      <c r="ORR6"/>
      <c r="ORT6"/>
      <c r="ORV6"/>
      <c r="ORX6"/>
      <c r="ORZ6"/>
      <c r="OSB6"/>
      <c r="OSD6"/>
      <c r="OSF6"/>
      <c r="OSH6"/>
      <c r="OSJ6"/>
      <c r="OSL6"/>
      <c r="OSN6"/>
      <c r="OSP6"/>
      <c r="OSR6"/>
      <c r="OST6"/>
      <c r="OSV6"/>
      <c r="OSX6"/>
      <c r="OSZ6"/>
      <c r="OTB6"/>
      <c r="OTD6"/>
      <c r="OTF6"/>
      <c r="OTH6"/>
      <c r="OTJ6"/>
      <c r="OTL6"/>
      <c r="OTN6"/>
      <c r="OTP6"/>
      <c r="OTR6"/>
      <c r="OTT6"/>
      <c r="OTV6"/>
      <c r="OTX6"/>
      <c r="OTZ6"/>
      <c r="OUB6"/>
      <c r="OUD6"/>
      <c r="OUF6"/>
      <c r="OUH6"/>
      <c r="OUJ6"/>
      <c r="OUL6"/>
      <c r="OUN6"/>
      <c r="OUP6"/>
      <c r="OUR6"/>
      <c r="OUT6"/>
      <c r="OUV6"/>
      <c r="OUX6"/>
      <c r="OUZ6"/>
      <c r="OVB6"/>
      <c r="OVD6"/>
      <c r="OVF6"/>
      <c r="OVH6"/>
      <c r="OVJ6"/>
      <c r="OVL6"/>
      <c r="OVN6"/>
      <c r="OVP6"/>
      <c r="OVR6"/>
      <c r="OVT6"/>
      <c r="OVV6"/>
      <c r="OVX6"/>
      <c r="OVZ6"/>
      <c r="OWB6"/>
      <c r="OWD6"/>
      <c r="OWF6"/>
      <c r="OWH6"/>
      <c r="OWJ6"/>
      <c r="OWL6"/>
      <c r="OWN6"/>
      <c r="OWP6"/>
      <c r="OWR6"/>
      <c r="OWT6"/>
      <c r="OWV6"/>
      <c r="OWX6"/>
      <c r="OWZ6"/>
      <c r="OXB6"/>
      <c r="OXD6"/>
      <c r="OXF6"/>
      <c r="OXH6"/>
      <c r="OXJ6"/>
      <c r="OXL6"/>
      <c r="OXN6"/>
      <c r="OXP6"/>
      <c r="OXR6"/>
      <c r="OXT6"/>
      <c r="OXV6"/>
      <c r="OXX6"/>
      <c r="OXZ6"/>
      <c r="OYB6"/>
      <c r="OYD6"/>
      <c r="OYF6"/>
      <c r="OYH6"/>
      <c r="OYJ6"/>
      <c r="OYL6"/>
      <c r="OYN6"/>
      <c r="OYP6"/>
      <c r="OYR6"/>
      <c r="OYT6"/>
      <c r="OYV6"/>
      <c r="OYX6"/>
      <c r="OYZ6"/>
      <c r="OZB6"/>
      <c r="OZD6"/>
      <c r="OZF6"/>
      <c r="OZH6"/>
      <c r="OZJ6"/>
      <c r="OZL6"/>
      <c r="OZN6"/>
      <c r="OZP6"/>
      <c r="OZR6"/>
      <c r="OZT6"/>
      <c r="OZV6"/>
      <c r="OZX6"/>
      <c r="OZZ6"/>
      <c r="PAB6"/>
      <c r="PAD6"/>
      <c r="PAF6"/>
      <c r="PAH6"/>
      <c r="PAJ6"/>
      <c r="PAL6"/>
      <c r="PAN6"/>
      <c r="PAP6"/>
      <c r="PAR6"/>
      <c r="PAT6"/>
      <c r="PAV6"/>
      <c r="PAX6"/>
      <c r="PAZ6"/>
      <c r="PBB6"/>
      <c r="PBD6"/>
      <c r="PBF6"/>
      <c r="PBH6"/>
      <c r="PBJ6"/>
      <c r="PBL6"/>
      <c r="PBN6"/>
      <c r="PBP6"/>
      <c r="PBR6"/>
      <c r="PBT6"/>
      <c r="PBV6"/>
      <c r="PBX6"/>
      <c r="PBZ6"/>
      <c r="PCB6"/>
      <c r="PCD6"/>
      <c r="PCF6"/>
      <c r="PCH6"/>
      <c r="PCJ6"/>
      <c r="PCL6"/>
      <c r="PCN6"/>
      <c r="PCP6"/>
      <c r="PCR6"/>
      <c r="PCT6"/>
      <c r="PCV6"/>
      <c r="PCX6"/>
      <c r="PCZ6"/>
      <c r="PDB6"/>
      <c r="PDD6"/>
      <c r="PDF6"/>
      <c r="PDH6"/>
      <c r="PDJ6"/>
      <c r="PDL6"/>
      <c r="PDN6"/>
      <c r="PDP6"/>
      <c r="PDR6"/>
      <c r="PDT6"/>
      <c r="PDV6"/>
      <c r="PDX6"/>
      <c r="PDZ6"/>
      <c r="PEB6"/>
      <c r="PED6"/>
      <c r="PEF6"/>
      <c r="PEH6"/>
      <c r="PEJ6"/>
      <c r="PEL6"/>
      <c r="PEN6"/>
      <c r="PEP6"/>
      <c r="PER6"/>
      <c r="PET6"/>
      <c r="PEV6"/>
      <c r="PEX6"/>
      <c r="PEZ6"/>
      <c r="PFB6"/>
      <c r="PFD6"/>
      <c r="PFF6"/>
      <c r="PFH6"/>
      <c r="PFJ6"/>
      <c r="PFL6"/>
      <c r="PFN6"/>
      <c r="PFP6"/>
      <c r="PFR6"/>
      <c r="PFT6"/>
      <c r="PFV6"/>
      <c r="PFX6"/>
      <c r="PFZ6"/>
      <c r="PGB6"/>
      <c r="PGD6"/>
      <c r="PGF6"/>
      <c r="PGH6"/>
      <c r="PGJ6"/>
      <c r="PGL6"/>
      <c r="PGN6"/>
      <c r="PGP6"/>
      <c r="PGR6"/>
      <c r="PGT6"/>
      <c r="PGV6"/>
      <c r="PGX6"/>
      <c r="PGZ6"/>
      <c r="PHB6"/>
      <c r="PHD6"/>
      <c r="PHF6"/>
      <c r="PHH6"/>
      <c r="PHJ6"/>
      <c r="PHL6"/>
      <c r="PHN6"/>
      <c r="PHP6"/>
      <c r="PHR6"/>
      <c r="PHT6"/>
      <c r="PHV6"/>
      <c r="PHX6"/>
      <c r="PHZ6"/>
      <c r="PIB6"/>
      <c r="PID6"/>
      <c r="PIF6"/>
      <c r="PIH6"/>
      <c r="PIJ6"/>
      <c r="PIL6"/>
      <c r="PIN6"/>
      <c r="PIP6"/>
      <c r="PIR6"/>
      <c r="PIT6"/>
      <c r="PIV6"/>
      <c r="PIX6"/>
      <c r="PIZ6"/>
      <c r="PJB6"/>
      <c r="PJD6"/>
      <c r="PJF6"/>
      <c r="PJH6"/>
      <c r="PJJ6"/>
      <c r="PJL6"/>
      <c r="PJN6"/>
      <c r="PJP6"/>
      <c r="PJR6"/>
      <c r="PJT6"/>
      <c r="PJV6"/>
      <c r="PJX6"/>
      <c r="PJZ6"/>
      <c r="PKB6"/>
      <c r="PKD6"/>
      <c r="PKF6"/>
      <c r="PKH6"/>
      <c r="PKJ6"/>
      <c r="PKL6"/>
      <c r="PKN6"/>
      <c r="PKP6"/>
      <c r="PKR6"/>
      <c r="PKT6"/>
      <c r="PKV6"/>
      <c r="PKX6"/>
      <c r="PKZ6"/>
      <c r="PLB6"/>
      <c r="PLD6"/>
      <c r="PLF6"/>
      <c r="PLH6"/>
      <c r="PLJ6"/>
      <c r="PLL6"/>
      <c r="PLN6"/>
      <c r="PLP6"/>
      <c r="PLR6"/>
      <c r="PLT6"/>
      <c r="PLV6"/>
      <c r="PLX6"/>
      <c r="PLZ6"/>
      <c r="PMB6"/>
      <c r="PMD6"/>
      <c r="PMF6"/>
      <c r="PMH6"/>
      <c r="PMJ6"/>
      <c r="PML6"/>
      <c r="PMN6"/>
      <c r="PMP6"/>
      <c r="PMR6"/>
      <c r="PMT6"/>
      <c r="PMV6"/>
      <c r="PMX6"/>
      <c r="PMZ6"/>
      <c r="PNB6"/>
      <c r="PND6"/>
      <c r="PNF6"/>
      <c r="PNH6"/>
      <c r="PNJ6"/>
      <c r="PNL6"/>
      <c r="PNN6"/>
      <c r="PNP6"/>
      <c r="PNR6"/>
      <c r="PNT6"/>
      <c r="PNV6"/>
      <c r="PNX6"/>
      <c r="PNZ6"/>
      <c r="POB6"/>
      <c r="POD6"/>
      <c r="POF6"/>
      <c r="POH6"/>
      <c r="POJ6"/>
      <c r="POL6"/>
      <c r="PON6"/>
      <c r="POP6"/>
      <c r="POR6"/>
      <c r="POT6"/>
      <c r="POV6"/>
      <c r="POX6"/>
      <c r="POZ6"/>
      <c r="PPB6"/>
      <c r="PPD6"/>
      <c r="PPF6"/>
      <c r="PPH6"/>
      <c r="PPJ6"/>
      <c r="PPL6"/>
      <c r="PPN6"/>
      <c r="PPP6"/>
      <c r="PPR6"/>
      <c r="PPT6"/>
      <c r="PPV6"/>
      <c r="PPX6"/>
      <c r="PPZ6"/>
      <c r="PQB6"/>
      <c r="PQD6"/>
      <c r="PQF6"/>
      <c r="PQH6"/>
      <c r="PQJ6"/>
      <c r="PQL6"/>
      <c r="PQN6"/>
      <c r="PQP6"/>
      <c r="PQR6"/>
      <c r="PQT6"/>
      <c r="PQV6"/>
      <c r="PQX6"/>
      <c r="PQZ6"/>
      <c r="PRB6"/>
      <c r="PRD6"/>
      <c r="PRF6"/>
      <c r="PRH6"/>
      <c r="PRJ6"/>
      <c r="PRL6"/>
      <c r="PRN6"/>
      <c r="PRP6"/>
      <c r="PRR6"/>
      <c r="PRT6"/>
      <c r="PRV6"/>
      <c r="PRX6"/>
      <c r="PRZ6"/>
      <c r="PSB6"/>
      <c r="PSD6"/>
      <c r="PSF6"/>
      <c r="PSH6"/>
      <c r="PSJ6"/>
      <c r="PSL6"/>
      <c r="PSN6"/>
      <c r="PSP6"/>
      <c r="PSR6"/>
      <c r="PST6"/>
      <c r="PSV6"/>
      <c r="PSX6"/>
      <c r="PSZ6"/>
      <c r="PTB6"/>
      <c r="PTD6"/>
      <c r="PTF6"/>
      <c r="PTH6"/>
      <c r="PTJ6"/>
      <c r="PTL6"/>
      <c r="PTN6"/>
      <c r="PTP6"/>
      <c r="PTR6"/>
      <c r="PTT6"/>
      <c r="PTV6"/>
      <c r="PTX6"/>
      <c r="PTZ6"/>
      <c r="PUB6"/>
      <c r="PUD6"/>
      <c r="PUF6"/>
      <c r="PUH6"/>
      <c r="PUJ6"/>
      <c r="PUL6"/>
      <c r="PUN6"/>
      <c r="PUP6"/>
      <c r="PUR6"/>
      <c r="PUT6"/>
      <c r="PUV6"/>
      <c r="PUX6"/>
      <c r="PUZ6"/>
      <c r="PVB6"/>
      <c r="PVD6"/>
      <c r="PVF6"/>
      <c r="PVH6"/>
      <c r="PVJ6"/>
      <c r="PVL6"/>
      <c r="PVN6"/>
      <c r="PVP6"/>
      <c r="PVR6"/>
      <c r="PVT6"/>
      <c r="PVV6"/>
      <c r="PVX6"/>
      <c r="PVZ6"/>
      <c r="PWB6"/>
      <c r="PWD6"/>
      <c r="PWF6"/>
      <c r="PWH6"/>
      <c r="PWJ6"/>
      <c r="PWL6"/>
      <c r="PWN6"/>
      <c r="PWP6"/>
      <c r="PWR6"/>
      <c r="PWT6"/>
      <c r="PWV6"/>
      <c r="PWX6"/>
      <c r="PWZ6"/>
      <c r="PXB6"/>
      <c r="PXD6"/>
      <c r="PXF6"/>
      <c r="PXH6"/>
      <c r="PXJ6"/>
      <c r="PXL6"/>
      <c r="PXN6"/>
      <c r="PXP6"/>
      <c r="PXR6"/>
      <c r="PXT6"/>
      <c r="PXV6"/>
      <c r="PXX6"/>
      <c r="PXZ6"/>
      <c r="PYB6"/>
      <c r="PYD6"/>
      <c r="PYF6"/>
      <c r="PYH6"/>
      <c r="PYJ6"/>
      <c r="PYL6"/>
      <c r="PYN6"/>
      <c r="PYP6"/>
      <c r="PYR6"/>
      <c r="PYT6"/>
      <c r="PYV6"/>
      <c r="PYX6"/>
      <c r="PYZ6"/>
      <c r="PZB6"/>
      <c r="PZD6"/>
      <c r="PZF6"/>
      <c r="PZH6"/>
      <c r="PZJ6"/>
      <c r="PZL6"/>
      <c r="PZN6"/>
      <c r="PZP6"/>
      <c r="PZR6"/>
      <c r="PZT6"/>
      <c r="PZV6"/>
      <c r="PZX6"/>
      <c r="PZZ6"/>
      <c r="QAB6"/>
      <c r="QAD6"/>
      <c r="QAF6"/>
      <c r="QAH6"/>
      <c r="QAJ6"/>
      <c r="QAL6"/>
      <c r="QAN6"/>
      <c r="QAP6"/>
      <c r="QAR6"/>
      <c r="QAT6"/>
      <c r="QAV6"/>
      <c r="QAX6"/>
      <c r="QAZ6"/>
      <c r="QBB6"/>
      <c r="QBD6"/>
      <c r="QBF6"/>
      <c r="QBH6"/>
      <c r="QBJ6"/>
      <c r="QBL6"/>
      <c r="QBN6"/>
      <c r="QBP6"/>
      <c r="QBR6"/>
      <c r="QBT6"/>
      <c r="QBV6"/>
      <c r="QBX6"/>
      <c r="QBZ6"/>
      <c r="QCB6"/>
      <c r="QCD6"/>
      <c r="QCF6"/>
      <c r="QCH6"/>
      <c r="QCJ6"/>
      <c r="QCL6"/>
      <c r="QCN6"/>
      <c r="QCP6"/>
      <c r="QCR6"/>
      <c r="QCT6"/>
      <c r="QCV6"/>
      <c r="QCX6"/>
      <c r="QCZ6"/>
      <c r="QDB6"/>
      <c r="QDD6"/>
      <c r="QDF6"/>
      <c r="QDH6"/>
      <c r="QDJ6"/>
      <c r="QDL6"/>
      <c r="QDN6"/>
      <c r="QDP6"/>
      <c r="QDR6"/>
      <c r="QDT6"/>
      <c r="QDV6"/>
      <c r="QDX6"/>
      <c r="QDZ6"/>
      <c r="QEB6"/>
      <c r="QED6"/>
      <c r="QEF6"/>
      <c r="QEH6"/>
      <c r="QEJ6"/>
      <c r="QEL6"/>
      <c r="QEN6"/>
      <c r="QEP6"/>
      <c r="QER6"/>
      <c r="QET6"/>
      <c r="QEV6"/>
      <c r="QEX6"/>
      <c r="QEZ6"/>
      <c r="QFB6"/>
      <c r="QFD6"/>
      <c r="QFF6"/>
      <c r="QFH6"/>
      <c r="QFJ6"/>
      <c r="QFL6"/>
      <c r="QFN6"/>
      <c r="QFP6"/>
      <c r="QFR6"/>
      <c r="QFT6"/>
      <c r="QFV6"/>
      <c r="QFX6"/>
      <c r="QFZ6"/>
      <c r="QGB6"/>
      <c r="QGD6"/>
      <c r="QGF6"/>
      <c r="QGH6"/>
      <c r="QGJ6"/>
      <c r="QGL6"/>
      <c r="QGN6"/>
      <c r="QGP6"/>
      <c r="QGR6"/>
      <c r="QGT6"/>
      <c r="QGV6"/>
      <c r="QGX6"/>
      <c r="QGZ6"/>
      <c r="QHB6"/>
      <c r="QHD6"/>
      <c r="QHF6"/>
      <c r="QHH6"/>
      <c r="QHJ6"/>
      <c r="QHL6"/>
      <c r="QHN6"/>
      <c r="QHP6"/>
      <c r="QHR6"/>
      <c r="QHT6"/>
      <c r="QHV6"/>
      <c r="QHX6"/>
      <c r="QHZ6"/>
      <c r="QIB6"/>
      <c r="QID6"/>
      <c r="QIF6"/>
      <c r="QIH6"/>
      <c r="QIJ6"/>
      <c r="QIL6"/>
      <c r="QIN6"/>
      <c r="QIP6"/>
      <c r="QIR6"/>
      <c r="QIT6"/>
      <c r="QIV6"/>
      <c r="QIX6"/>
      <c r="QIZ6"/>
      <c r="QJB6"/>
      <c r="QJD6"/>
      <c r="QJF6"/>
      <c r="QJH6"/>
      <c r="QJJ6"/>
      <c r="QJL6"/>
      <c r="QJN6"/>
      <c r="QJP6"/>
      <c r="QJR6"/>
      <c r="QJT6"/>
      <c r="QJV6"/>
      <c r="QJX6"/>
      <c r="QJZ6"/>
      <c r="QKB6"/>
      <c r="QKD6"/>
      <c r="QKF6"/>
      <c r="QKH6"/>
      <c r="QKJ6"/>
      <c r="QKL6"/>
      <c r="QKN6"/>
      <c r="QKP6"/>
      <c r="QKR6"/>
      <c r="QKT6"/>
      <c r="QKV6"/>
      <c r="QKX6"/>
      <c r="QKZ6"/>
      <c r="QLB6"/>
      <c r="QLD6"/>
      <c r="QLF6"/>
      <c r="QLH6"/>
      <c r="QLJ6"/>
      <c r="QLL6"/>
      <c r="QLN6"/>
      <c r="QLP6"/>
      <c r="QLR6"/>
      <c r="QLT6"/>
      <c r="QLV6"/>
      <c r="QLX6"/>
      <c r="QLZ6"/>
      <c r="QMB6"/>
      <c r="QMD6"/>
      <c r="QMF6"/>
      <c r="QMH6"/>
      <c r="QMJ6"/>
      <c r="QML6"/>
      <c r="QMN6"/>
      <c r="QMP6"/>
      <c r="QMR6"/>
      <c r="QMT6"/>
      <c r="QMV6"/>
      <c r="QMX6"/>
      <c r="QMZ6"/>
      <c r="QNB6"/>
      <c r="QND6"/>
      <c r="QNF6"/>
      <c r="QNH6"/>
      <c r="QNJ6"/>
      <c r="QNL6"/>
      <c r="QNN6"/>
      <c r="QNP6"/>
      <c r="QNR6"/>
      <c r="QNT6"/>
      <c r="QNV6"/>
      <c r="QNX6"/>
      <c r="QNZ6"/>
      <c r="QOB6"/>
      <c r="QOD6"/>
      <c r="QOF6"/>
      <c r="QOH6"/>
      <c r="QOJ6"/>
      <c r="QOL6"/>
      <c r="QON6"/>
      <c r="QOP6"/>
      <c r="QOR6"/>
      <c r="QOT6"/>
      <c r="QOV6"/>
      <c r="QOX6"/>
      <c r="QOZ6"/>
      <c r="QPB6"/>
      <c r="QPD6"/>
      <c r="QPF6"/>
      <c r="QPH6"/>
      <c r="QPJ6"/>
      <c r="QPL6"/>
      <c r="QPN6"/>
      <c r="QPP6"/>
      <c r="QPR6"/>
      <c r="QPT6"/>
      <c r="QPV6"/>
      <c r="QPX6"/>
      <c r="QPZ6"/>
      <c r="QQB6"/>
      <c r="QQD6"/>
      <c r="QQF6"/>
      <c r="QQH6"/>
      <c r="QQJ6"/>
      <c r="QQL6"/>
      <c r="QQN6"/>
      <c r="QQP6"/>
      <c r="QQR6"/>
      <c r="QQT6"/>
      <c r="QQV6"/>
      <c r="QQX6"/>
      <c r="QQZ6"/>
      <c r="QRB6"/>
      <c r="QRD6"/>
      <c r="QRF6"/>
      <c r="QRH6"/>
      <c r="QRJ6"/>
      <c r="QRL6"/>
      <c r="QRN6"/>
      <c r="QRP6"/>
      <c r="QRR6"/>
      <c r="QRT6"/>
      <c r="QRV6"/>
      <c r="QRX6"/>
      <c r="QRZ6"/>
      <c r="QSB6"/>
      <c r="QSD6"/>
      <c r="QSF6"/>
      <c r="QSH6"/>
      <c r="QSJ6"/>
      <c r="QSL6"/>
      <c r="QSN6"/>
      <c r="QSP6"/>
      <c r="QSR6"/>
      <c r="QST6"/>
      <c r="QSV6"/>
      <c r="QSX6"/>
      <c r="QSZ6"/>
      <c r="QTB6"/>
      <c r="QTD6"/>
      <c r="QTF6"/>
      <c r="QTH6"/>
      <c r="QTJ6"/>
      <c r="QTL6"/>
      <c r="QTN6"/>
      <c r="QTP6"/>
      <c r="QTR6"/>
      <c r="QTT6"/>
      <c r="QTV6"/>
      <c r="QTX6"/>
      <c r="QTZ6"/>
      <c r="QUB6"/>
      <c r="QUD6"/>
      <c r="QUF6"/>
      <c r="QUH6"/>
      <c r="QUJ6"/>
      <c r="QUL6"/>
      <c r="QUN6"/>
      <c r="QUP6"/>
      <c r="QUR6"/>
      <c r="QUT6"/>
      <c r="QUV6"/>
      <c r="QUX6"/>
      <c r="QUZ6"/>
      <c r="QVB6"/>
      <c r="QVD6"/>
      <c r="QVF6"/>
      <c r="QVH6"/>
      <c r="QVJ6"/>
      <c r="QVL6"/>
      <c r="QVN6"/>
      <c r="QVP6"/>
      <c r="QVR6"/>
      <c r="QVT6"/>
      <c r="QVV6"/>
      <c r="QVX6"/>
      <c r="QVZ6"/>
      <c r="QWB6"/>
      <c r="QWD6"/>
      <c r="QWF6"/>
      <c r="QWH6"/>
      <c r="QWJ6"/>
      <c r="QWL6"/>
      <c r="QWN6"/>
      <c r="QWP6"/>
      <c r="QWR6"/>
      <c r="QWT6"/>
      <c r="QWV6"/>
      <c r="QWX6"/>
      <c r="QWZ6"/>
      <c r="QXB6"/>
      <c r="QXD6"/>
      <c r="QXF6"/>
      <c r="QXH6"/>
      <c r="QXJ6"/>
      <c r="QXL6"/>
      <c r="QXN6"/>
      <c r="QXP6"/>
      <c r="QXR6"/>
      <c r="QXT6"/>
      <c r="QXV6"/>
      <c r="QXX6"/>
      <c r="QXZ6"/>
      <c r="QYB6"/>
      <c r="QYD6"/>
      <c r="QYF6"/>
      <c r="QYH6"/>
      <c r="QYJ6"/>
      <c r="QYL6"/>
      <c r="QYN6"/>
      <c r="QYP6"/>
      <c r="QYR6"/>
      <c r="QYT6"/>
      <c r="QYV6"/>
      <c r="QYX6"/>
      <c r="QYZ6"/>
      <c r="QZB6"/>
      <c r="QZD6"/>
      <c r="QZF6"/>
      <c r="QZH6"/>
      <c r="QZJ6"/>
      <c r="QZL6"/>
      <c r="QZN6"/>
      <c r="QZP6"/>
      <c r="QZR6"/>
      <c r="QZT6"/>
      <c r="QZV6"/>
      <c r="QZX6"/>
      <c r="QZZ6"/>
      <c r="RAB6"/>
      <c r="RAD6"/>
      <c r="RAF6"/>
      <c r="RAH6"/>
      <c r="RAJ6"/>
      <c r="RAL6"/>
      <c r="RAN6"/>
      <c r="RAP6"/>
      <c r="RAR6"/>
      <c r="RAT6"/>
      <c r="RAV6"/>
      <c r="RAX6"/>
      <c r="RAZ6"/>
      <c r="RBB6"/>
      <c r="RBD6"/>
      <c r="RBF6"/>
      <c r="RBH6"/>
      <c r="RBJ6"/>
      <c r="RBL6"/>
      <c r="RBN6"/>
      <c r="RBP6"/>
      <c r="RBR6"/>
      <c r="RBT6"/>
      <c r="RBV6"/>
      <c r="RBX6"/>
      <c r="RBZ6"/>
      <c r="RCB6"/>
      <c r="RCD6"/>
      <c r="RCF6"/>
      <c r="RCH6"/>
      <c r="RCJ6"/>
      <c r="RCL6"/>
      <c r="RCN6"/>
      <c r="RCP6"/>
      <c r="RCR6"/>
      <c r="RCT6"/>
      <c r="RCV6"/>
      <c r="RCX6"/>
      <c r="RCZ6"/>
      <c r="RDB6"/>
      <c r="RDD6"/>
      <c r="RDF6"/>
      <c r="RDH6"/>
      <c r="RDJ6"/>
      <c r="RDL6"/>
      <c r="RDN6"/>
      <c r="RDP6"/>
      <c r="RDR6"/>
      <c r="RDT6"/>
      <c r="RDV6"/>
      <c r="RDX6"/>
      <c r="RDZ6"/>
      <c r="REB6"/>
      <c r="RED6"/>
      <c r="REF6"/>
      <c r="REH6"/>
      <c r="REJ6"/>
      <c r="REL6"/>
      <c r="REN6"/>
      <c r="REP6"/>
      <c r="RER6"/>
      <c r="RET6"/>
      <c r="REV6"/>
      <c r="REX6"/>
      <c r="REZ6"/>
      <c r="RFB6"/>
      <c r="RFD6"/>
      <c r="RFF6"/>
      <c r="RFH6"/>
      <c r="RFJ6"/>
      <c r="RFL6"/>
      <c r="RFN6"/>
      <c r="RFP6"/>
      <c r="RFR6"/>
      <c r="RFT6"/>
      <c r="RFV6"/>
      <c r="RFX6"/>
      <c r="RFZ6"/>
      <c r="RGB6"/>
      <c r="RGD6"/>
      <c r="RGF6"/>
      <c r="RGH6"/>
      <c r="RGJ6"/>
      <c r="RGL6"/>
      <c r="RGN6"/>
      <c r="RGP6"/>
      <c r="RGR6"/>
      <c r="RGT6"/>
      <c r="RGV6"/>
      <c r="RGX6"/>
      <c r="RGZ6"/>
      <c r="RHB6"/>
      <c r="RHD6"/>
      <c r="RHF6"/>
      <c r="RHH6"/>
      <c r="RHJ6"/>
      <c r="RHL6"/>
      <c r="RHN6"/>
      <c r="RHP6"/>
      <c r="RHR6"/>
      <c r="RHT6"/>
      <c r="RHV6"/>
      <c r="RHX6"/>
      <c r="RHZ6"/>
      <c r="RIB6"/>
      <c r="RID6"/>
      <c r="RIF6"/>
      <c r="RIH6"/>
      <c r="RIJ6"/>
      <c r="RIL6"/>
      <c r="RIN6"/>
      <c r="RIP6"/>
      <c r="RIR6"/>
      <c r="RIT6"/>
      <c r="RIV6"/>
      <c r="RIX6"/>
      <c r="RIZ6"/>
      <c r="RJB6"/>
      <c r="RJD6"/>
      <c r="RJF6"/>
      <c r="RJH6"/>
      <c r="RJJ6"/>
      <c r="RJL6"/>
      <c r="RJN6"/>
      <c r="RJP6"/>
      <c r="RJR6"/>
      <c r="RJT6"/>
      <c r="RJV6"/>
      <c r="RJX6"/>
      <c r="RJZ6"/>
      <c r="RKB6"/>
      <c r="RKD6"/>
      <c r="RKF6"/>
      <c r="RKH6"/>
      <c r="RKJ6"/>
      <c r="RKL6"/>
      <c r="RKN6"/>
      <c r="RKP6"/>
      <c r="RKR6"/>
      <c r="RKT6"/>
      <c r="RKV6"/>
      <c r="RKX6"/>
      <c r="RKZ6"/>
      <c r="RLB6"/>
      <c r="RLD6"/>
      <c r="RLF6"/>
      <c r="RLH6"/>
      <c r="RLJ6"/>
      <c r="RLL6"/>
      <c r="RLN6"/>
      <c r="RLP6"/>
      <c r="RLR6"/>
      <c r="RLT6"/>
      <c r="RLV6"/>
      <c r="RLX6"/>
      <c r="RLZ6"/>
      <c r="RMB6"/>
      <c r="RMD6"/>
      <c r="RMF6"/>
      <c r="RMH6"/>
      <c r="RMJ6"/>
      <c r="RML6"/>
      <c r="RMN6"/>
      <c r="RMP6"/>
      <c r="RMR6"/>
      <c r="RMT6"/>
      <c r="RMV6"/>
      <c r="RMX6"/>
      <c r="RMZ6"/>
      <c r="RNB6"/>
      <c r="RND6"/>
      <c r="RNF6"/>
      <c r="RNH6"/>
      <c r="RNJ6"/>
      <c r="RNL6"/>
      <c r="RNN6"/>
      <c r="RNP6"/>
      <c r="RNR6"/>
      <c r="RNT6"/>
      <c r="RNV6"/>
      <c r="RNX6"/>
      <c r="RNZ6"/>
      <c r="ROB6"/>
      <c r="ROD6"/>
      <c r="ROF6"/>
      <c r="ROH6"/>
      <c r="ROJ6"/>
      <c r="ROL6"/>
      <c r="RON6"/>
      <c r="ROP6"/>
      <c r="ROR6"/>
      <c r="ROT6"/>
      <c r="ROV6"/>
      <c r="ROX6"/>
      <c r="ROZ6"/>
      <c r="RPB6"/>
      <c r="RPD6"/>
      <c r="RPF6"/>
      <c r="RPH6"/>
      <c r="RPJ6"/>
      <c r="RPL6"/>
      <c r="RPN6"/>
      <c r="RPP6"/>
      <c r="RPR6"/>
      <c r="RPT6"/>
      <c r="RPV6"/>
      <c r="RPX6"/>
      <c r="RPZ6"/>
      <c r="RQB6"/>
      <c r="RQD6"/>
      <c r="RQF6"/>
      <c r="RQH6"/>
      <c r="RQJ6"/>
      <c r="RQL6"/>
      <c r="RQN6"/>
      <c r="RQP6"/>
      <c r="RQR6"/>
      <c r="RQT6"/>
      <c r="RQV6"/>
      <c r="RQX6"/>
      <c r="RQZ6"/>
      <c r="RRB6"/>
      <c r="RRD6"/>
      <c r="RRF6"/>
      <c r="RRH6"/>
      <c r="RRJ6"/>
      <c r="RRL6"/>
      <c r="RRN6"/>
      <c r="RRP6"/>
      <c r="RRR6"/>
      <c r="RRT6"/>
      <c r="RRV6"/>
      <c r="RRX6"/>
      <c r="RRZ6"/>
      <c r="RSB6"/>
      <c r="RSD6"/>
      <c r="RSF6"/>
      <c r="RSH6"/>
      <c r="RSJ6"/>
      <c r="RSL6"/>
      <c r="RSN6"/>
      <c r="RSP6"/>
      <c r="RSR6"/>
      <c r="RST6"/>
      <c r="RSV6"/>
      <c r="RSX6"/>
      <c r="RSZ6"/>
      <c r="RTB6"/>
      <c r="RTD6"/>
      <c r="RTF6"/>
      <c r="RTH6"/>
      <c r="RTJ6"/>
      <c r="RTL6"/>
      <c r="RTN6"/>
      <c r="RTP6"/>
      <c r="RTR6"/>
      <c r="RTT6"/>
      <c r="RTV6"/>
      <c r="RTX6"/>
      <c r="RTZ6"/>
      <c r="RUB6"/>
      <c r="RUD6"/>
      <c r="RUF6"/>
      <c r="RUH6"/>
      <c r="RUJ6"/>
      <c r="RUL6"/>
      <c r="RUN6"/>
      <c r="RUP6"/>
      <c r="RUR6"/>
      <c r="RUT6"/>
      <c r="RUV6"/>
      <c r="RUX6"/>
      <c r="RUZ6"/>
      <c r="RVB6"/>
      <c r="RVD6"/>
      <c r="RVF6"/>
      <c r="RVH6"/>
      <c r="RVJ6"/>
      <c r="RVL6"/>
      <c r="RVN6"/>
      <c r="RVP6"/>
      <c r="RVR6"/>
      <c r="RVT6"/>
      <c r="RVV6"/>
      <c r="RVX6"/>
      <c r="RVZ6"/>
      <c r="RWB6"/>
      <c r="RWD6"/>
      <c r="RWF6"/>
      <c r="RWH6"/>
      <c r="RWJ6"/>
      <c r="RWL6"/>
      <c r="RWN6"/>
      <c r="RWP6"/>
      <c r="RWR6"/>
      <c r="RWT6"/>
      <c r="RWV6"/>
      <c r="RWX6"/>
      <c r="RWZ6"/>
      <c r="RXB6"/>
      <c r="RXD6"/>
      <c r="RXF6"/>
      <c r="RXH6"/>
      <c r="RXJ6"/>
      <c r="RXL6"/>
      <c r="RXN6"/>
      <c r="RXP6"/>
      <c r="RXR6"/>
      <c r="RXT6"/>
      <c r="RXV6"/>
      <c r="RXX6"/>
      <c r="RXZ6"/>
      <c r="RYB6"/>
      <c r="RYD6"/>
      <c r="RYF6"/>
      <c r="RYH6"/>
      <c r="RYJ6"/>
      <c r="RYL6"/>
      <c r="RYN6"/>
      <c r="RYP6"/>
      <c r="RYR6"/>
      <c r="RYT6"/>
      <c r="RYV6"/>
      <c r="RYX6"/>
      <c r="RYZ6"/>
      <c r="RZB6"/>
      <c r="RZD6"/>
      <c r="RZF6"/>
      <c r="RZH6"/>
      <c r="RZJ6"/>
      <c r="RZL6"/>
      <c r="RZN6"/>
      <c r="RZP6"/>
      <c r="RZR6"/>
      <c r="RZT6"/>
      <c r="RZV6"/>
      <c r="RZX6"/>
      <c r="RZZ6"/>
      <c r="SAB6"/>
      <c r="SAD6"/>
      <c r="SAF6"/>
      <c r="SAH6"/>
      <c r="SAJ6"/>
      <c r="SAL6"/>
      <c r="SAN6"/>
      <c r="SAP6"/>
      <c r="SAR6"/>
      <c r="SAT6"/>
      <c r="SAV6"/>
      <c r="SAX6"/>
      <c r="SAZ6"/>
      <c r="SBB6"/>
      <c r="SBD6"/>
      <c r="SBF6"/>
      <c r="SBH6"/>
      <c r="SBJ6"/>
      <c r="SBL6"/>
      <c r="SBN6"/>
      <c r="SBP6"/>
      <c r="SBR6"/>
      <c r="SBT6"/>
      <c r="SBV6"/>
      <c r="SBX6"/>
      <c r="SBZ6"/>
      <c r="SCB6"/>
      <c r="SCD6"/>
      <c r="SCF6"/>
      <c r="SCH6"/>
      <c r="SCJ6"/>
      <c r="SCL6"/>
      <c r="SCN6"/>
      <c r="SCP6"/>
      <c r="SCR6"/>
      <c r="SCT6"/>
      <c r="SCV6"/>
      <c r="SCX6"/>
      <c r="SCZ6"/>
      <c r="SDB6"/>
      <c r="SDD6"/>
      <c r="SDF6"/>
      <c r="SDH6"/>
      <c r="SDJ6"/>
      <c r="SDL6"/>
      <c r="SDN6"/>
      <c r="SDP6"/>
      <c r="SDR6"/>
      <c r="SDT6"/>
      <c r="SDV6"/>
      <c r="SDX6"/>
      <c r="SDZ6"/>
      <c r="SEB6"/>
      <c r="SED6"/>
      <c r="SEF6"/>
      <c r="SEH6"/>
      <c r="SEJ6"/>
      <c r="SEL6"/>
      <c r="SEN6"/>
      <c r="SEP6"/>
      <c r="SER6"/>
      <c r="SET6"/>
      <c r="SEV6"/>
      <c r="SEX6"/>
      <c r="SEZ6"/>
      <c r="SFB6"/>
      <c r="SFD6"/>
      <c r="SFF6"/>
      <c r="SFH6"/>
      <c r="SFJ6"/>
      <c r="SFL6"/>
      <c r="SFN6"/>
      <c r="SFP6"/>
      <c r="SFR6"/>
      <c r="SFT6"/>
      <c r="SFV6"/>
      <c r="SFX6"/>
      <c r="SFZ6"/>
      <c r="SGB6"/>
      <c r="SGD6"/>
      <c r="SGF6"/>
      <c r="SGH6"/>
      <c r="SGJ6"/>
      <c r="SGL6"/>
      <c r="SGN6"/>
      <c r="SGP6"/>
      <c r="SGR6"/>
      <c r="SGT6"/>
      <c r="SGV6"/>
      <c r="SGX6"/>
      <c r="SGZ6"/>
      <c r="SHB6"/>
      <c r="SHD6"/>
      <c r="SHF6"/>
      <c r="SHH6"/>
      <c r="SHJ6"/>
      <c r="SHL6"/>
      <c r="SHN6"/>
      <c r="SHP6"/>
      <c r="SHR6"/>
      <c r="SHT6"/>
      <c r="SHV6"/>
      <c r="SHX6"/>
      <c r="SHZ6"/>
      <c r="SIB6"/>
      <c r="SID6"/>
      <c r="SIF6"/>
      <c r="SIH6"/>
      <c r="SIJ6"/>
      <c r="SIL6"/>
      <c r="SIN6"/>
      <c r="SIP6"/>
      <c r="SIR6"/>
      <c r="SIT6"/>
      <c r="SIV6"/>
      <c r="SIX6"/>
      <c r="SIZ6"/>
      <c r="SJB6"/>
      <c r="SJD6"/>
      <c r="SJF6"/>
      <c r="SJH6"/>
      <c r="SJJ6"/>
      <c r="SJL6"/>
      <c r="SJN6"/>
      <c r="SJP6"/>
      <c r="SJR6"/>
      <c r="SJT6"/>
      <c r="SJV6"/>
      <c r="SJX6"/>
      <c r="SJZ6"/>
      <c r="SKB6"/>
      <c r="SKD6"/>
      <c r="SKF6"/>
      <c r="SKH6"/>
      <c r="SKJ6"/>
      <c r="SKL6"/>
      <c r="SKN6"/>
      <c r="SKP6"/>
      <c r="SKR6"/>
      <c r="SKT6"/>
      <c r="SKV6"/>
      <c r="SKX6"/>
      <c r="SKZ6"/>
      <c r="SLB6"/>
      <c r="SLD6"/>
      <c r="SLF6"/>
      <c r="SLH6"/>
      <c r="SLJ6"/>
      <c r="SLL6"/>
      <c r="SLN6"/>
      <c r="SLP6"/>
      <c r="SLR6"/>
      <c r="SLT6"/>
      <c r="SLV6"/>
      <c r="SLX6"/>
      <c r="SLZ6"/>
      <c r="SMB6"/>
      <c r="SMD6"/>
      <c r="SMF6"/>
      <c r="SMH6"/>
      <c r="SMJ6"/>
      <c r="SML6"/>
      <c r="SMN6"/>
      <c r="SMP6"/>
      <c r="SMR6"/>
      <c r="SMT6"/>
      <c r="SMV6"/>
      <c r="SMX6"/>
      <c r="SMZ6"/>
      <c r="SNB6"/>
      <c r="SND6"/>
      <c r="SNF6"/>
      <c r="SNH6"/>
      <c r="SNJ6"/>
      <c r="SNL6"/>
      <c r="SNN6"/>
      <c r="SNP6"/>
      <c r="SNR6"/>
      <c r="SNT6"/>
      <c r="SNV6"/>
      <c r="SNX6"/>
      <c r="SNZ6"/>
      <c r="SOB6"/>
      <c r="SOD6"/>
      <c r="SOF6"/>
      <c r="SOH6"/>
      <c r="SOJ6"/>
      <c r="SOL6"/>
      <c r="SON6"/>
      <c r="SOP6"/>
      <c r="SOR6"/>
      <c r="SOT6"/>
      <c r="SOV6"/>
      <c r="SOX6"/>
      <c r="SOZ6"/>
      <c r="SPB6"/>
      <c r="SPD6"/>
      <c r="SPF6"/>
      <c r="SPH6"/>
      <c r="SPJ6"/>
      <c r="SPL6"/>
      <c r="SPN6"/>
      <c r="SPP6"/>
      <c r="SPR6"/>
      <c r="SPT6"/>
      <c r="SPV6"/>
      <c r="SPX6"/>
      <c r="SPZ6"/>
      <c r="SQB6"/>
      <c r="SQD6"/>
      <c r="SQF6"/>
      <c r="SQH6"/>
      <c r="SQJ6"/>
      <c r="SQL6"/>
      <c r="SQN6"/>
      <c r="SQP6"/>
      <c r="SQR6"/>
      <c r="SQT6"/>
      <c r="SQV6"/>
      <c r="SQX6"/>
      <c r="SQZ6"/>
      <c r="SRB6"/>
      <c r="SRD6"/>
      <c r="SRF6"/>
      <c r="SRH6"/>
      <c r="SRJ6"/>
      <c r="SRL6"/>
      <c r="SRN6"/>
      <c r="SRP6"/>
      <c r="SRR6"/>
      <c r="SRT6"/>
      <c r="SRV6"/>
      <c r="SRX6"/>
      <c r="SRZ6"/>
      <c r="SSB6"/>
      <c r="SSD6"/>
      <c r="SSF6"/>
      <c r="SSH6"/>
      <c r="SSJ6"/>
      <c r="SSL6"/>
      <c r="SSN6"/>
      <c r="SSP6"/>
      <c r="SSR6"/>
      <c r="SST6"/>
      <c r="SSV6"/>
      <c r="SSX6"/>
      <c r="SSZ6"/>
      <c r="STB6"/>
      <c r="STD6"/>
      <c r="STF6"/>
      <c r="STH6"/>
      <c r="STJ6"/>
      <c r="STL6"/>
      <c r="STN6"/>
      <c r="STP6"/>
      <c r="STR6"/>
      <c r="STT6"/>
      <c r="STV6"/>
      <c r="STX6"/>
      <c r="STZ6"/>
      <c r="SUB6"/>
      <c r="SUD6"/>
      <c r="SUF6"/>
      <c r="SUH6"/>
      <c r="SUJ6"/>
      <c r="SUL6"/>
      <c r="SUN6"/>
      <c r="SUP6"/>
      <c r="SUR6"/>
      <c r="SUT6"/>
      <c r="SUV6"/>
      <c r="SUX6"/>
      <c r="SUZ6"/>
      <c r="SVB6"/>
      <c r="SVD6"/>
      <c r="SVF6"/>
      <c r="SVH6"/>
      <c r="SVJ6"/>
      <c r="SVL6"/>
      <c r="SVN6"/>
      <c r="SVP6"/>
      <c r="SVR6"/>
      <c r="SVT6"/>
      <c r="SVV6"/>
      <c r="SVX6"/>
      <c r="SVZ6"/>
      <c r="SWB6"/>
      <c r="SWD6"/>
      <c r="SWF6"/>
      <c r="SWH6"/>
      <c r="SWJ6"/>
      <c r="SWL6"/>
      <c r="SWN6"/>
      <c r="SWP6"/>
      <c r="SWR6"/>
      <c r="SWT6"/>
      <c r="SWV6"/>
      <c r="SWX6"/>
      <c r="SWZ6"/>
      <c r="SXB6"/>
      <c r="SXD6"/>
      <c r="SXF6"/>
      <c r="SXH6"/>
      <c r="SXJ6"/>
      <c r="SXL6"/>
      <c r="SXN6"/>
      <c r="SXP6"/>
      <c r="SXR6"/>
      <c r="SXT6"/>
      <c r="SXV6"/>
      <c r="SXX6"/>
      <c r="SXZ6"/>
      <c r="SYB6"/>
      <c r="SYD6"/>
      <c r="SYF6"/>
      <c r="SYH6"/>
      <c r="SYJ6"/>
      <c r="SYL6"/>
      <c r="SYN6"/>
      <c r="SYP6"/>
      <c r="SYR6"/>
      <c r="SYT6"/>
      <c r="SYV6"/>
      <c r="SYX6"/>
      <c r="SYZ6"/>
      <c r="SZB6"/>
      <c r="SZD6"/>
      <c r="SZF6"/>
      <c r="SZH6"/>
      <c r="SZJ6"/>
      <c r="SZL6"/>
      <c r="SZN6"/>
      <c r="SZP6"/>
      <c r="SZR6"/>
      <c r="SZT6"/>
      <c r="SZV6"/>
      <c r="SZX6"/>
      <c r="SZZ6"/>
      <c r="TAB6"/>
      <c r="TAD6"/>
      <c r="TAF6"/>
      <c r="TAH6"/>
      <c r="TAJ6"/>
      <c r="TAL6"/>
      <c r="TAN6"/>
      <c r="TAP6"/>
      <c r="TAR6"/>
      <c r="TAT6"/>
      <c r="TAV6"/>
      <c r="TAX6"/>
      <c r="TAZ6"/>
      <c r="TBB6"/>
      <c r="TBD6"/>
      <c r="TBF6"/>
      <c r="TBH6"/>
      <c r="TBJ6"/>
      <c r="TBL6"/>
      <c r="TBN6"/>
      <c r="TBP6"/>
      <c r="TBR6"/>
      <c r="TBT6"/>
      <c r="TBV6"/>
      <c r="TBX6"/>
      <c r="TBZ6"/>
      <c r="TCB6"/>
      <c r="TCD6"/>
      <c r="TCF6"/>
      <c r="TCH6"/>
      <c r="TCJ6"/>
      <c r="TCL6"/>
      <c r="TCN6"/>
      <c r="TCP6"/>
      <c r="TCR6"/>
      <c r="TCT6"/>
      <c r="TCV6"/>
      <c r="TCX6"/>
      <c r="TCZ6"/>
      <c r="TDB6"/>
      <c r="TDD6"/>
      <c r="TDF6"/>
      <c r="TDH6"/>
      <c r="TDJ6"/>
      <c r="TDL6"/>
      <c r="TDN6"/>
      <c r="TDP6"/>
      <c r="TDR6"/>
      <c r="TDT6"/>
      <c r="TDV6"/>
      <c r="TDX6"/>
      <c r="TDZ6"/>
      <c r="TEB6"/>
      <c r="TED6"/>
      <c r="TEF6"/>
      <c r="TEH6"/>
      <c r="TEJ6"/>
      <c r="TEL6"/>
      <c r="TEN6"/>
      <c r="TEP6"/>
      <c r="TER6"/>
      <c r="TET6"/>
      <c r="TEV6"/>
      <c r="TEX6"/>
      <c r="TEZ6"/>
      <c r="TFB6"/>
      <c r="TFD6"/>
      <c r="TFF6"/>
      <c r="TFH6"/>
      <c r="TFJ6"/>
      <c r="TFL6"/>
      <c r="TFN6"/>
      <c r="TFP6"/>
      <c r="TFR6"/>
      <c r="TFT6"/>
      <c r="TFV6"/>
      <c r="TFX6"/>
      <c r="TFZ6"/>
      <c r="TGB6"/>
      <c r="TGD6"/>
      <c r="TGF6"/>
      <c r="TGH6"/>
      <c r="TGJ6"/>
      <c r="TGL6"/>
      <c r="TGN6"/>
      <c r="TGP6"/>
      <c r="TGR6"/>
      <c r="TGT6"/>
      <c r="TGV6"/>
      <c r="TGX6"/>
      <c r="TGZ6"/>
      <c r="THB6"/>
      <c r="THD6"/>
      <c r="THF6"/>
      <c r="THH6"/>
      <c r="THJ6"/>
      <c r="THL6"/>
      <c r="THN6"/>
      <c r="THP6"/>
      <c r="THR6"/>
      <c r="THT6"/>
      <c r="THV6"/>
      <c r="THX6"/>
      <c r="THZ6"/>
      <c r="TIB6"/>
      <c r="TID6"/>
      <c r="TIF6"/>
      <c r="TIH6"/>
      <c r="TIJ6"/>
      <c r="TIL6"/>
      <c r="TIN6"/>
      <c r="TIP6"/>
      <c r="TIR6"/>
      <c r="TIT6"/>
      <c r="TIV6"/>
      <c r="TIX6"/>
      <c r="TIZ6"/>
      <c r="TJB6"/>
      <c r="TJD6"/>
      <c r="TJF6"/>
      <c r="TJH6"/>
      <c r="TJJ6"/>
      <c r="TJL6"/>
      <c r="TJN6"/>
      <c r="TJP6"/>
      <c r="TJR6"/>
      <c r="TJT6"/>
      <c r="TJV6"/>
      <c r="TJX6"/>
      <c r="TJZ6"/>
      <c r="TKB6"/>
      <c r="TKD6"/>
      <c r="TKF6"/>
      <c r="TKH6"/>
      <c r="TKJ6"/>
      <c r="TKL6"/>
      <c r="TKN6"/>
      <c r="TKP6"/>
      <c r="TKR6"/>
      <c r="TKT6"/>
      <c r="TKV6"/>
      <c r="TKX6"/>
      <c r="TKZ6"/>
      <c r="TLB6"/>
      <c r="TLD6"/>
      <c r="TLF6"/>
      <c r="TLH6"/>
      <c r="TLJ6"/>
      <c r="TLL6"/>
      <c r="TLN6"/>
      <c r="TLP6"/>
      <c r="TLR6"/>
      <c r="TLT6"/>
      <c r="TLV6"/>
      <c r="TLX6"/>
      <c r="TLZ6"/>
      <c r="TMB6"/>
      <c r="TMD6"/>
      <c r="TMF6"/>
      <c r="TMH6"/>
      <c r="TMJ6"/>
      <c r="TML6"/>
      <c r="TMN6"/>
      <c r="TMP6"/>
      <c r="TMR6"/>
      <c r="TMT6"/>
      <c r="TMV6"/>
      <c r="TMX6"/>
      <c r="TMZ6"/>
      <c r="TNB6"/>
      <c r="TND6"/>
      <c r="TNF6"/>
      <c r="TNH6"/>
      <c r="TNJ6"/>
      <c r="TNL6"/>
      <c r="TNN6"/>
      <c r="TNP6"/>
      <c r="TNR6"/>
      <c r="TNT6"/>
      <c r="TNV6"/>
      <c r="TNX6"/>
      <c r="TNZ6"/>
      <c r="TOB6"/>
      <c r="TOD6"/>
      <c r="TOF6"/>
      <c r="TOH6"/>
      <c r="TOJ6"/>
      <c r="TOL6"/>
      <c r="TON6"/>
      <c r="TOP6"/>
      <c r="TOR6"/>
      <c r="TOT6"/>
      <c r="TOV6"/>
      <c r="TOX6"/>
      <c r="TOZ6"/>
      <c r="TPB6"/>
      <c r="TPD6"/>
      <c r="TPF6"/>
      <c r="TPH6"/>
      <c r="TPJ6"/>
      <c r="TPL6"/>
      <c r="TPN6"/>
      <c r="TPP6"/>
      <c r="TPR6"/>
      <c r="TPT6"/>
      <c r="TPV6"/>
      <c r="TPX6"/>
      <c r="TPZ6"/>
      <c r="TQB6"/>
      <c r="TQD6"/>
      <c r="TQF6"/>
      <c r="TQH6"/>
      <c r="TQJ6"/>
      <c r="TQL6"/>
      <c r="TQN6"/>
      <c r="TQP6"/>
      <c r="TQR6"/>
      <c r="TQT6"/>
      <c r="TQV6"/>
      <c r="TQX6"/>
      <c r="TQZ6"/>
      <c r="TRB6"/>
      <c r="TRD6"/>
      <c r="TRF6"/>
      <c r="TRH6"/>
      <c r="TRJ6"/>
      <c r="TRL6"/>
      <c r="TRN6"/>
      <c r="TRP6"/>
      <c r="TRR6"/>
      <c r="TRT6"/>
      <c r="TRV6"/>
      <c r="TRX6"/>
      <c r="TRZ6"/>
      <c r="TSB6"/>
      <c r="TSD6"/>
      <c r="TSF6"/>
      <c r="TSH6"/>
      <c r="TSJ6"/>
      <c r="TSL6"/>
      <c r="TSN6"/>
      <c r="TSP6"/>
      <c r="TSR6"/>
      <c r="TST6"/>
      <c r="TSV6"/>
      <c r="TSX6"/>
      <c r="TSZ6"/>
      <c r="TTB6"/>
      <c r="TTD6"/>
      <c r="TTF6"/>
      <c r="TTH6"/>
      <c r="TTJ6"/>
      <c r="TTL6"/>
      <c r="TTN6"/>
      <c r="TTP6"/>
      <c r="TTR6"/>
      <c r="TTT6"/>
      <c r="TTV6"/>
      <c r="TTX6"/>
      <c r="TTZ6"/>
      <c r="TUB6"/>
      <c r="TUD6"/>
      <c r="TUF6"/>
      <c r="TUH6"/>
      <c r="TUJ6"/>
      <c r="TUL6"/>
      <c r="TUN6"/>
      <c r="TUP6"/>
      <c r="TUR6"/>
      <c r="TUT6"/>
      <c r="TUV6"/>
      <c r="TUX6"/>
      <c r="TUZ6"/>
      <c r="TVB6"/>
      <c r="TVD6"/>
      <c r="TVF6"/>
      <c r="TVH6"/>
      <c r="TVJ6"/>
      <c r="TVL6"/>
      <c r="TVN6"/>
      <c r="TVP6"/>
      <c r="TVR6"/>
      <c r="TVT6"/>
      <c r="TVV6"/>
      <c r="TVX6"/>
      <c r="TVZ6"/>
      <c r="TWB6"/>
      <c r="TWD6"/>
      <c r="TWF6"/>
      <c r="TWH6"/>
      <c r="TWJ6"/>
      <c r="TWL6"/>
      <c r="TWN6"/>
      <c r="TWP6"/>
      <c r="TWR6"/>
      <c r="TWT6"/>
      <c r="TWV6"/>
      <c r="TWX6"/>
      <c r="TWZ6"/>
      <c r="TXB6"/>
      <c r="TXD6"/>
      <c r="TXF6"/>
      <c r="TXH6"/>
      <c r="TXJ6"/>
      <c r="TXL6"/>
      <c r="TXN6"/>
      <c r="TXP6"/>
      <c r="TXR6"/>
      <c r="TXT6"/>
      <c r="TXV6"/>
      <c r="TXX6"/>
      <c r="TXZ6"/>
      <c r="TYB6"/>
      <c r="TYD6"/>
      <c r="TYF6"/>
      <c r="TYH6"/>
      <c r="TYJ6"/>
      <c r="TYL6"/>
      <c r="TYN6"/>
      <c r="TYP6"/>
      <c r="TYR6"/>
      <c r="TYT6"/>
      <c r="TYV6"/>
      <c r="TYX6"/>
      <c r="TYZ6"/>
      <c r="TZB6"/>
      <c r="TZD6"/>
      <c r="TZF6"/>
      <c r="TZH6"/>
      <c r="TZJ6"/>
      <c r="TZL6"/>
      <c r="TZN6"/>
      <c r="TZP6"/>
      <c r="TZR6"/>
      <c r="TZT6"/>
      <c r="TZV6"/>
      <c r="TZX6"/>
      <c r="TZZ6"/>
      <c r="UAB6"/>
      <c r="UAD6"/>
      <c r="UAF6"/>
      <c r="UAH6"/>
      <c r="UAJ6"/>
      <c r="UAL6"/>
      <c r="UAN6"/>
      <c r="UAP6"/>
      <c r="UAR6"/>
      <c r="UAT6"/>
      <c r="UAV6"/>
      <c r="UAX6"/>
      <c r="UAZ6"/>
      <c r="UBB6"/>
      <c r="UBD6"/>
      <c r="UBF6"/>
      <c r="UBH6"/>
      <c r="UBJ6"/>
      <c r="UBL6"/>
      <c r="UBN6"/>
      <c r="UBP6"/>
      <c r="UBR6"/>
      <c r="UBT6"/>
      <c r="UBV6"/>
      <c r="UBX6"/>
      <c r="UBZ6"/>
      <c r="UCB6"/>
      <c r="UCD6"/>
      <c r="UCF6"/>
      <c r="UCH6"/>
      <c r="UCJ6"/>
      <c r="UCL6"/>
      <c r="UCN6"/>
      <c r="UCP6"/>
      <c r="UCR6"/>
      <c r="UCT6"/>
      <c r="UCV6"/>
      <c r="UCX6"/>
      <c r="UCZ6"/>
      <c r="UDB6"/>
      <c r="UDD6"/>
      <c r="UDF6"/>
      <c r="UDH6"/>
      <c r="UDJ6"/>
      <c r="UDL6"/>
      <c r="UDN6"/>
      <c r="UDP6"/>
      <c r="UDR6"/>
      <c r="UDT6"/>
      <c r="UDV6"/>
      <c r="UDX6"/>
      <c r="UDZ6"/>
      <c r="UEB6"/>
      <c r="UED6"/>
      <c r="UEF6"/>
      <c r="UEH6"/>
      <c r="UEJ6"/>
      <c r="UEL6"/>
      <c r="UEN6"/>
      <c r="UEP6"/>
      <c r="UER6"/>
      <c r="UET6"/>
      <c r="UEV6"/>
      <c r="UEX6"/>
      <c r="UEZ6"/>
      <c r="UFB6"/>
      <c r="UFD6"/>
      <c r="UFF6"/>
      <c r="UFH6"/>
      <c r="UFJ6"/>
      <c r="UFL6"/>
      <c r="UFN6"/>
      <c r="UFP6"/>
      <c r="UFR6"/>
      <c r="UFT6"/>
      <c r="UFV6"/>
      <c r="UFX6"/>
      <c r="UFZ6"/>
      <c r="UGB6"/>
      <c r="UGD6"/>
      <c r="UGF6"/>
      <c r="UGH6"/>
      <c r="UGJ6"/>
      <c r="UGL6"/>
      <c r="UGN6"/>
      <c r="UGP6"/>
      <c r="UGR6"/>
      <c r="UGT6"/>
      <c r="UGV6"/>
      <c r="UGX6"/>
      <c r="UGZ6"/>
      <c r="UHB6"/>
      <c r="UHD6"/>
      <c r="UHF6"/>
      <c r="UHH6"/>
      <c r="UHJ6"/>
      <c r="UHL6"/>
      <c r="UHN6"/>
      <c r="UHP6"/>
      <c r="UHR6"/>
      <c r="UHT6"/>
      <c r="UHV6"/>
      <c r="UHX6"/>
      <c r="UHZ6"/>
      <c r="UIB6"/>
      <c r="UID6"/>
      <c r="UIF6"/>
      <c r="UIH6"/>
      <c r="UIJ6"/>
      <c r="UIL6"/>
      <c r="UIN6"/>
      <c r="UIP6"/>
      <c r="UIR6"/>
      <c r="UIT6"/>
      <c r="UIV6"/>
      <c r="UIX6"/>
      <c r="UIZ6"/>
      <c r="UJB6"/>
      <c r="UJD6"/>
      <c r="UJF6"/>
      <c r="UJH6"/>
      <c r="UJJ6"/>
      <c r="UJL6"/>
      <c r="UJN6"/>
      <c r="UJP6"/>
      <c r="UJR6"/>
      <c r="UJT6"/>
      <c r="UJV6"/>
      <c r="UJX6"/>
      <c r="UJZ6"/>
      <c r="UKB6"/>
      <c r="UKD6"/>
      <c r="UKF6"/>
      <c r="UKH6"/>
      <c r="UKJ6"/>
      <c r="UKL6"/>
      <c r="UKN6"/>
      <c r="UKP6"/>
      <c r="UKR6"/>
      <c r="UKT6"/>
      <c r="UKV6"/>
      <c r="UKX6"/>
      <c r="UKZ6"/>
      <c r="ULB6"/>
      <c r="ULD6"/>
      <c r="ULF6"/>
      <c r="ULH6"/>
      <c r="ULJ6"/>
      <c r="ULL6"/>
      <c r="ULN6"/>
      <c r="ULP6"/>
      <c r="ULR6"/>
      <c r="ULT6"/>
      <c r="ULV6"/>
      <c r="ULX6"/>
      <c r="ULZ6"/>
      <c r="UMB6"/>
      <c r="UMD6"/>
      <c r="UMF6"/>
      <c r="UMH6"/>
      <c r="UMJ6"/>
      <c r="UML6"/>
      <c r="UMN6"/>
      <c r="UMP6"/>
      <c r="UMR6"/>
      <c r="UMT6"/>
      <c r="UMV6"/>
      <c r="UMX6"/>
      <c r="UMZ6"/>
      <c r="UNB6"/>
      <c r="UND6"/>
      <c r="UNF6"/>
      <c r="UNH6"/>
      <c r="UNJ6"/>
      <c r="UNL6"/>
      <c r="UNN6"/>
      <c r="UNP6"/>
      <c r="UNR6"/>
      <c r="UNT6"/>
      <c r="UNV6"/>
      <c r="UNX6"/>
      <c r="UNZ6"/>
      <c r="UOB6"/>
      <c r="UOD6"/>
      <c r="UOF6"/>
      <c r="UOH6"/>
      <c r="UOJ6"/>
      <c r="UOL6"/>
      <c r="UON6"/>
      <c r="UOP6"/>
      <c r="UOR6"/>
      <c r="UOT6"/>
      <c r="UOV6"/>
      <c r="UOX6"/>
      <c r="UOZ6"/>
      <c r="UPB6"/>
      <c r="UPD6"/>
      <c r="UPF6"/>
      <c r="UPH6"/>
      <c r="UPJ6"/>
      <c r="UPL6"/>
      <c r="UPN6"/>
      <c r="UPP6"/>
      <c r="UPR6"/>
      <c r="UPT6"/>
      <c r="UPV6"/>
      <c r="UPX6"/>
      <c r="UPZ6"/>
      <c r="UQB6"/>
      <c r="UQD6"/>
      <c r="UQF6"/>
      <c r="UQH6"/>
      <c r="UQJ6"/>
      <c r="UQL6"/>
      <c r="UQN6"/>
      <c r="UQP6"/>
      <c r="UQR6"/>
      <c r="UQT6"/>
      <c r="UQV6"/>
      <c r="UQX6"/>
      <c r="UQZ6"/>
      <c r="URB6"/>
      <c r="URD6"/>
      <c r="URF6"/>
      <c r="URH6"/>
      <c r="URJ6"/>
      <c r="URL6"/>
      <c r="URN6"/>
      <c r="URP6"/>
      <c r="URR6"/>
      <c r="URT6"/>
      <c r="URV6"/>
      <c r="URX6"/>
      <c r="URZ6"/>
      <c r="USB6"/>
      <c r="USD6"/>
      <c r="USF6"/>
      <c r="USH6"/>
      <c r="USJ6"/>
      <c r="USL6"/>
      <c r="USN6"/>
      <c r="USP6"/>
      <c r="USR6"/>
      <c r="UST6"/>
      <c r="USV6"/>
      <c r="USX6"/>
      <c r="USZ6"/>
      <c r="UTB6"/>
      <c r="UTD6"/>
      <c r="UTF6"/>
      <c r="UTH6"/>
      <c r="UTJ6"/>
      <c r="UTL6"/>
      <c r="UTN6"/>
      <c r="UTP6"/>
      <c r="UTR6"/>
      <c r="UTT6"/>
      <c r="UTV6"/>
      <c r="UTX6"/>
      <c r="UTZ6"/>
      <c r="UUB6"/>
      <c r="UUD6"/>
      <c r="UUF6"/>
      <c r="UUH6"/>
      <c r="UUJ6"/>
      <c r="UUL6"/>
      <c r="UUN6"/>
      <c r="UUP6"/>
      <c r="UUR6"/>
      <c r="UUT6"/>
      <c r="UUV6"/>
      <c r="UUX6"/>
      <c r="UUZ6"/>
      <c r="UVB6"/>
      <c r="UVD6"/>
      <c r="UVF6"/>
      <c r="UVH6"/>
      <c r="UVJ6"/>
      <c r="UVL6"/>
      <c r="UVN6"/>
      <c r="UVP6"/>
      <c r="UVR6"/>
      <c r="UVT6"/>
      <c r="UVV6"/>
      <c r="UVX6"/>
      <c r="UVZ6"/>
      <c r="UWB6"/>
      <c r="UWD6"/>
      <c r="UWF6"/>
      <c r="UWH6"/>
      <c r="UWJ6"/>
      <c r="UWL6"/>
      <c r="UWN6"/>
      <c r="UWP6"/>
      <c r="UWR6"/>
      <c r="UWT6"/>
      <c r="UWV6"/>
      <c r="UWX6"/>
      <c r="UWZ6"/>
      <c r="UXB6"/>
      <c r="UXD6"/>
      <c r="UXF6"/>
      <c r="UXH6"/>
      <c r="UXJ6"/>
      <c r="UXL6"/>
      <c r="UXN6"/>
      <c r="UXP6"/>
      <c r="UXR6"/>
      <c r="UXT6"/>
      <c r="UXV6"/>
      <c r="UXX6"/>
      <c r="UXZ6"/>
      <c r="UYB6"/>
      <c r="UYD6"/>
      <c r="UYF6"/>
      <c r="UYH6"/>
      <c r="UYJ6"/>
      <c r="UYL6"/>
      <c r="UYN6"/>
      <c r="UYP6"/>
      <c r="UYR6"/>
      <c r="UYT6"/>
      <c r="UYV6"/>
      <c r="UYX6"/>
      <c r="UYZ6"/>
      <c r="UZB6"/>
      <c r="UZD6"/>
      <c r="UZF6"/>
      <c r="UZH6"/>
      <c r="UZJ6"/>
      <c r="UZL6"/>
      <c r="UZN6"/>
      <c r="UZP6"/>
      <c r="UZR6"/>
      <c r="UZT6"/>
      <c r="UZV6"/>
      <c r="UZX6"/>
      <c r="UZZ6"/>
      <c r="VAB6"/>
      <c r="VAD6"/>
      <c r="VAF6"/>
      <c r="VAH6"/>
      <c r="VAJ6"/>
      <c r="VAL6"/>
      <c r="VAN6"/>
      <c r="VAP6"/>
      <c r="VAR6"/>
      <c r="VAT6"/>
      <c r="VAV6"/>
      <c r="VAX6"/>
      <c r="VAZ6"/>
      <c r="VBB6"/>
      <c r="VBD6"/>
      <c r="VBF6"/>
      <c r="VBH6"/>
      <c r="VBJ6"/>
      <c r="VBL6"/>
      <c r="VBN6"/>
      <c r="VBP6"/>
      <c r="VBR6"/>
      <c r="VBT6"/>
      <c r="VBV6"/>
      <c r="VBX6"/>
      <c r="VBZ6"/>
      <c r="VCB6"/>
      <c r="VCD6"/>
      <c r="VCF6"/>
      <c r="VCH6"/>
      <c r="VCJ6"/>
      <c r="VCL6"/>
      <c r="VCN6"/>
      <c r="VCP6"/>
      <c r="VCR6"/>
      <c r="VCT6"/>
      <c r="VCV6"/>
      <c r="VCX6"/>
      <c r="VCZ6"/>
      <c r="VDB6"/>
      <c r="VDD6"/>
      <c r="VDF6"/>
      <c r="VDH6"/>
      <c r="VDJ6"/>
      <c r="VDL6"/>
      <c r="VDN6"/>
      <c r="VDP6"/>
      <c r="VDR6"/>
      <c r="VDT6"/>
      <c r="VDV6"/>
      <c r="VDX6"/>
      <c r="VDZ6"/>
      <c r="VEB6"/>
      <c r="VED6"/>
      <c r="VEF6"/>
      <c r="VEH6"/>
      <c r="VEJ6"/>
      <c r="VEL6"/>
      <c r="VEN6"/>
      <c r="VEP6"/>
      <c r="VER6"/>
      <c r="VET6"/>
      <c r="VEV6"/>
      <c r="VEX6"/>
      <c r="VEZ6"/>
      <c r="VFB6"/>
      <c r="VFD6"/>
      <c r="VFF6"/>
      <c r="VFH6"/>
      <c r="VFJ6"/>
      <c r="VFL6"/>
      <c r="VFN6"/>
      <c r="VFP6"/>
      <c r="VFR6"/>
      <c r="VFT6"/>
      <c r="VFV6"/>
      <c r="VFX6"/>
      <c r="VFZ6"/>
      <c r="VGB6"/>
      <c r="VGD6"/>
      <c r="VGF6"/>
      <c r="VGH6"/>
      <c r="VGJ6"/>
      <c r="VGL6"/>
      <c r="VGN6"/>
      <c r="VGP6"/>
      <c r="VGR6"/>
      <c r="VGT6"/>
      <c r="VGV6"/>
      <c r="VGX6"/>
      <c r="VGZ6"/>
      <c r="VHB6"/>
      <c r="VHD6"/>
      <c r="VHF6"/>
      <c r="VHH6"/>
      <c r="VHJ6"/>
      <c r="VHL6"/>
      <c r="VHN6"/>
      <c r="VHP6"/>
      <c r="VHR6"/>
      <c r="VHT6"/>
      <c r="VHV6"/>
      <c r="VHX6"/>
      <c r="VHZ6"/>
      <c r="VIB6"/>
      <c r="VID6"/>
      <c r="VIF6"/>
      <c r="VIH6"/>
      <c r="VIJ6"/>
      <c r="VIL6"/>
      <c r="VIN6"/>
      <c r="VIP6"/>
      <c r="VIR6"/>
      <c r="VIT6"/>
      <c r="VIV6"/>
      <c r="VIX6"/>
      <c r="VIZ6"/>
      <c r="VJB6"/>
      <c r="VJD6"/>
      <c r="VJF6"/>
      <c r="VJH6"/>
      <c r="VJJ6"/>
      <c r="VJL6"/>
      <c r="VJN6"/>
      <c r="VJP6"/>
      <c r="VJR6"/>
      <c r="VJT6"/>
      <c r="VJV6"/>
      <c r="VJX6"/>
      <c r="VJZ6"/>
      <c r="VKB6"/>
      <c r="VKD6"/>
      <c r="VKF6"/>
      <c r="VKH6"/>
      <c r="VKJ6"/>
      <c r="VKL6"/>
      <c r="VKN6"/>
      <c r="VKP6"/>
      <c r="VKR6"/>
      <c r="VKT6"/>
      <c r="VKV6"/>
      <c r="VKX6"/>
      <c r="VKZ6"/>
      <c r="VLB6"/>
      <c r="VLD6"/>
      <c r="VLF6"/>
      <c r="VLH6"/>
      <c r="VLJ6"/>
      <c r="VLL6"/>
      <c r="VLN6"/>
      <c r="VLP6"/>
      <c r="VLR6"/>
      <c r="VLT6"/>
      <c r="VLV6"/>
      <c r="VLX6"/>
      <c r="VLZ6"/>
      <c r="VMB6"/>
      <c r="VMD6"/>
      <c r="VMF6"/>
      <c r="VMH6"/>
      <c r="VMJ6"/>
      <c r="VML6"/>
      <c r="VMN6"/>
      <c r="VMP6"/>
      <c r="VMR6"/>
      <c r="VMT6"/>
      <c r="VMV6"/>
      <c r="VMX6"/>
      <c r="VMZ6"/>
      <c r="VNB6"/>
      <c r="VND6"/>
      <c r="VNF6"/>
      <c r="VNH6"/>
      <c r="VNJ6"/>
      <c r="VNL6"/>
      <c r="VNN6"/>
      <c r="VNP6"/>
      <c r="VNR6"/>
      <c r="VNT6"/>
      <c r="VNV6"/>
      <c r="VNX6"/>
      <c r="VNZ6"/>
      <c r="VOB6"/>
      <c r="VOD6"/>
      <c r="VOF6"/>
      <c r="VOH6"/>
      <c r="VOJ6"/>
      <c r="VOL6"/>
      <c r="VON6"/>
      <c r="VOP6"/>
      <c r="VOR6"/>
      <c r="VOT6"/>
      <c r="VOV6"/>
      <c r="VOX6"/>
      <c r="VOZ6"/>
      <c r="VPB6"/>
      <c r="VPD6"/>
      <c r="VPF6"/>
      <c r="VPH6"/>
      <c r="VPJ6"/>
      <c r="VPL6"/>
      <c r="VPN6"/>
      <c r="VPP6"/>
      <c r="VPR6"/>
      <c r="VPT6"/>
      <c r="VPV6"/>
      <c r="VPX6"/>
      <c r="VPZ6"/>
      <c r="VQB6"/>
      <c r="VQD6"/>
      <c r="VQF6"/>
      <c r="VQH6"/>
      <c r="VQJ6"/>
      <c r="VQL6"/>
      <c r="VQN6"/>
      <c r="VQP6"/>
      <c r="VQR6"/>
      <c r="VQT6"/>
      <c r="VQV6"/>
      <c r="VQX6"/>
      <c r="VQZ6"/>
      <c r="VRB6"/>
      <c r="VRD6"/>
      <c r="VRF6"/>
      <c r="VRH6"/>
      <c r="VRJ6"/>
      <c r="VRL6"/>
      <c r="VRN6"/>
      <c r="VRP6"/>
      <c r="VRR6"/>
      <c r="VRT6"/>
      <c r="VRV6"/>
      <c r="VRX6"/>
      <c r="VRZ6"/>
      <c r="VSB6"/>
      <c r="VSD6"/>
      <c r="VSF6"/>
      <c r="VSH6"/>
      <c r="VSJ6"/>
      <c r="VSL6"/>
      <c r="VSN6"/>
      <c r="VSP6"/>
      <c r="VSR6"/>
      <c r="VST6"/>
      <c r="VSV6"/>
      <c r="VSX6"/>
      <c r="VSZ6"/>
      <c r="VTB6"/>
      <c r="VTD6"/>
      <c r="VTF6"/>
      <c r="VTH6"/>
      <c r="VTJ6"/>
      <c r="VTL6"/>
      <c r="VTN6"/>
      <c r="VTP6"/>
      <c r="VTR6"/>
      <c r="VTT6"/>
      <c r="VTV6"/>
      <c r="VTX6"/>
      <c r="VTZ6"/>
      <c r="VUB6"/>
      <c r="VUD6"/>
      <c r="VUF6"/>
      <c r="VUH6"/>
      <c r="VUJ6"/>
      <c r="VUL6"/>
      <c r="VUN6"/>
      <c r="VUP6"/>
      <c r="VUR6"/>
      <c r="VUT6"/>
      <c r="VUV6"/>
      <c r="VUX6"/>
      <c r="VUZ6"/>
      <c r="VVB6"/>
      <c r="VVD6"/>
      <c r="VVF6"/>
      <c r="VVH6"/>
      <c r="VVJ6"/>
      <c r="VVL6"/>
      <c r="VVN6"/>
      <c r="VVP6"/>
      <c r="VVR6"/>
      <c r="VVT6"/>
      <c r="VVV6"/>
      <c r="VVX6"/>
      <c r="VVZ6"/>
      <c r="VWB6"/>
      <c r="VWD6"/>
      <c r="VWF6"/>
      <c r="VWH6"/>
      <c r="VWJ6"/>
      <c r="VWL6"/>
      <c r="VWN6"/>
      <c r="VWP6"/>
      <c r="VWR6"/>
      <c r="VWT6"/>
      <c r="VWV6"/>
      <c r="VWX6"/>
      <c r="VWZ6"/>
      <c r="VXB6"/>
      <c r="VXD6"/>
      <c r="VXF6"/>
      <c r="VXH6"/>
      <c r="VXJ6"/>
      <c r="VXL6"/>
      <c r="VXN6"/>
      <c r="VXP6"/>
      <c r="VXR6"/>
      <c r="VXT6"/>
      <c r="VXV6"/>
      <c r="VXX6"/>
      <c r="VXZ6"/>
      <c r="VYB6"/>
      <c r="VYD6"/>
      <c r="VYF6"/>
      <c r="VYH6"/>
      <c r="VYJ6"/>
      <c r="VYL6"/>
      <c r="VYN6"/>
      <c r="VYP6"/>
      <c r="VYR6"/>
      <c r="VYT6"/>
      <c r="VYV6"/>
      <c r="VYX6"/>
      <c r="VYZ6"/>
      <c r="VZB6"/>
      <c r="VZD6"/>
      <c r="VZF6"/>
      <c r="VZH6"/>
      <c r="VZJ6"/>
      <c r="VZL6"/>
      <c r="VZN6"/>
      <c r="VZP6"/>
      <c r="VZR6"/>
      <c r="VZT6"/>
      <c r="VZV6"/>
      <c r="VZX6"/>
      <c r="VZZ6"/>
      <c r="WAB6"/>
      <c r="WAD6"/>
      <c r="WAF6"/>
      <c r="WAH6"/>
      <c r="WAJ6"/>
      <c r="WAL6"/>
      <c r="WAN6"/>
      <c r="WAP6"/>
      <c r="WAR6"/>
      <c r="WAT6"/>
      <c r="WAV6"/>
      <c r="WAX6"/>
      <c r="WAZ6"/>
      <c r="WBB6"/>
      <c r="WBD6"/>
      <c r="WBF6"/>
      <c r="WBH6"/>
      <c r="WBJ6"/>
      <c r="WBL6"/>
      <c r="WBN6"/>
      <c r="WBP6"/>
      <c r="WBR6"/>
      <c r="WBT6"/>
      <c r="WBV6"/>
      <c r="WBX6"/>
      <c r="WBZ6"/>
      <c r="WCB6"/>
      <c r="WCD6"/>
      <c r="WCF6"/>
      <c r="WCH6"/>
      <c r="WCJ6"/>
      <c r="WCL6"/>
      <c r="WCN6"/>
      <c r="WCP6"/>
      <c r="WCR6"/>
      <c r="WCT6"/>
      <c r="WCV6"/>
      <c r="WCX6"/>
      <c r="WCZ6"/>
      <c r="WDB6"/>
      <c r="WDD6"/>
      <c r="WDF6"/>
      <c r="WDH6"/>
      <c r="WDJ6"/>
      <c r="WDL6"/>
      <c r="WDN6"/>
      <c r="WDP6"/>
      <c r="WDR6"/>
      <c r="WDT6"/>
      <c r="WDV6"/>
      <c r="WDX6"/>
      <c r="WDZ6"/>
      <c r="WEB6"/>
      <c r="WED6"/>
      <c r="WEF6"/>
      <c r="WEH6"/>
      <c r="WEJ6"/>
      <c r="WEL6"/>
      <c r="WEN6"/>
      <c r="WEP6"/>
      <c r="WER6"/>
      <c r="WET6"/>
      <c r="WEV6"/>
      <c r="WEX6"/>
      <c r="WEZ6"/>
      <c r="WFB6"/>
      <c r="WFD6"/>
      <c r="WFF6"/>
      <c r="WFH6"/>
      <c r="WFJ6"/>
      <c r="WFL6"/>
      <c r="WFN6"/>
      <c r="WFP6"/>
      <c r="WFR6"/>
      <c r="WFT6"/>
      <c r="WFV6"/>
      <c r="WFX6"/>
      <c r="WFZ6"/>
      <c r="WGB6"/>
      <c r="WGD6"/>
      <c r="WGF6"/>
      <c r="WGH6"/>
      <c r="WGJ6"/>
      <c r="WGL6"/>
      <c r="WGN6"/>
      <c r="WGP6"/>
      <c r="WGR6"/>
      <c r="WGT6"/>
      <c r="WGV6"/>
      <c r="WGX6"/>
      <c r="WGZ6"/>
      <c r="WHB6"/>
      <c r="WHD6"/>
      <c r="WHF6"/>
      <c r="WHH6"/>
      <c r="WHJ6"/>
      <c r="WHL6"/>
      <c r="WHN6"/>
      <c r="WHP6"/>
      <c r="WHR6"/>
      <c r="WHT6"/>
      <c r="WHV6"/>
      <c r="WHX6"/>
      <c r="WHZ6"/>
      <c r="WIB6"/>
      <c r="WID6"/>
      <c r="WIF6"/>
      <c r="WIH6"/>
      <c r="WIJ6"/>
      <c r="WIL6"/>
      <c r="WIN6"/>
      <c r="WIP6"/>
      <c r="WIR6"/>
      <c r="WIT6"/>
      <c r="WIV6"/>
      <c r="WIX6"/>
      <c r="WIZ6"/>
      <c r="WJB6"/>
      <c r="WJD6"/>
      <c r="WJF6"/>
      <c r="WJH6"/>
      <c r="WJJ6"/>
      <c r="WJL6"/>
      <c r="WJN6"/>
      <c r="WJP6"/>
      <c r="WJR6"/>
      <c r="WJT6"/>
      <c r="WJV6"/>
      <c r="WJX6"/>
      <c r="WJZ6"/>
      <c r="WKB6"/>
      <c r="WKD6"/>
      <c r="WKF6"/>
      <c r="WKH6"/>
      <c r="WKJ6"/>
      <c r="WKL6"/>
      <c r="WKN6"/>
      <c r="WKP6"/>
      <c r="WKR6"/>
      <c r="WKT6"/>
      <c r="WKV6"/>
      <c r="WKX6"/>
      <c r="WKZ6"/>
      <c r="WLB6"/>
      <c r="WLD6"/>
      <c r="WLF6"/>
      <c r="WLH6"/>
      <c r="WLJ6"/>
      <c r="WLL6"/>
      <c r="WLN6"/>
      <c r="WLP6"/>
      <c r="WLR6"/>
      <c r="WLT6"/>
      <c r="WLV6"/>
      <c r="WLX6"/>
      <c r="WLZ6"/>
      <c r="WMB6"/>
      <c r="WMD6"/>
      <c r="WMF6"/>
      <c r="WMH6"/>
      <c r="WMJ6"/>
      <c r="WML6"/>
      <c r="WMN6"/>
      <c r="WMP6"/>
      <c r="WMR6"/>
      <c r="WMT6"/>
      <c r="WMV6"/>
      <c r="WMX6"/>
      <c r="WMZ6"/>
      <c r="WNB6"/>
      <c r="WND6"/>
      <c r="WNF6"/>
      <c r="WNH6"/>
      <c r="WNJ6"/>
      <c r="WNL6"/>
      <c r="WNN6"/>
      <c r="WNP6"/>
      <c r="WNR6"/>
      <c r="WNT6"/>
      <c r="WNV6"/>
      <c r="WNX6"/>
      <c r="WNZ6"/>
      <c r="WOB6"/>
      <c r="WOD6"/>
      <c r="WOF6"/>
      <c r="WOH6"/>
      <c r="WOJ6"/>
      <c r="WOL6"/>
      <c r="WON6"/>
      <c r="WOP6"/>
      <c r="WOR6"/>
      <c r="WOT6"/>
      <c r="WOV6"/>
      <c r="WOX6"/>
      <c r="WOZ6"/>
      <c r="WPB6"/>
      <c r="WPD6"/>
      <c r="WPF6"/>
      <c r="WPH6"/>
      <c r="WPJ6"/>
      <c r="WPL6"/>
      <c r="WPN6"/>
      <c r="WPP6"/>
      <c r="WPR6"/>
      <c r="WPT6"/>
      <c r="WPV6"/>
      <c r="WPX6"/>
      <c r="WPZ6"/>
      <c r="WQB6"/>
      <c r="WQD6"/>
      <c r="WQF6"/>
      <c r="WQH6"/>
      <c r="WQJ6"/>
      <c r="WQL6"/>
      <c r="WQN6"/>
      <c r="WQP6"/>
      <c r="WQR6"/>
      <c r="WQT6"/>
      <c r="WQV6"/>
      <c r="WQX6"/>
      <c r="WQZ6"/>
      <c r="WRB6"/>
      <c r="WRD6"/>
      <c r="WRF6"/>
      <c r="WRH6"/>
      <c r="WRJ6"/>
      <c r="WRL6"/>
      <c r="WRN6"/>
      <c r="WRP6"/>
      <c r="WRR6"/>
      <c r="WRT6"/>
      <c r="WRV6"/>
      <c r="WRX6"/>
      <c r="WRZ6"/>
      <c r="WSB6"/>
      <c r="WSD6"/>
      <c r="WSF6"/>
      <c r="WSH6"/>
      <c r="WSJ6"/>
      <c r="WSL6"/>
      <c r="WSN6"/>
      <c r="WSP6"/>
      <c r="WSR6"/>
      <c r="WST6"/>
      <c r="WSV6"/>
      <c r="WSX6"/>
      <c r="WSZ6"/>
      <c r="WTB6"/>
      <c r="WTD6"/>
      <c r="WTF6"/>
      <c r="WTH6"/>
      <c r="WTJ6"/>
      <c r="WTL6"/>
      <c r="WTN6"/>
      <c r="WTP6"/>
      <c r="WTR6"/>
      <c r="WTT6"/>
      <c r="WTV6"/>
      <c r="WTX6"/>
      <c r="WTZ6"/>
      <c r="WUB6"/>
      <c r="WUD6"/>
      <c r="WUF6"/>
      <c r="WUH6"/>
      <c r="WUJ6"/>
      <c r="WUL6"/>
      <c r="WUN6"/>
      <c r="WUP6"/>
      <c r="WUR6"/>
      <c r="WUT6"/>
      <c r="WUV6"/>
      <c r="WUX6"/>
      <c r="WUZ6"/>
      <c r="WVB6"/>
      <c r="WVD6"/>
      <c r="WVF6"/>
      <c r="WVH6"/>
      <c r="WVJ6"/>
      <c r="WVL6"/>
      <c r="WVN6"/>
      <c r="WVP6"/>
      <c r="WVR6"/>
      <c r="WVT6"/>
      <c r="WVV6"/>
      <c r="WVX6"/>
      <c r="WVZ6"/>
      <c r="WWB6"/>
      <c r="WWD6"/>
      <c r="WWF6"/>
      <c r="WWH6"/>
      <c r="WWJ6"/>
      <c r="WWL6"/>
      <c r="WWN6"/>
      <c r="WWP6"/>
      <c r="WWR6"/>
      <c r="WWT6"/>
      <c r="WWV6"/>
      <c r="WWX6"/>
      <c r="WWZ6"/>
      <c r="WXB6"/>
      <c r="WXD6"/>
      <c r="WXF6"/>
      <c r="WXH6"/>
      <c r="WXJ6"/>
      <c r="WXL6"/>
      <c r="WXN6"/>
      <c r="WXP6"/>
      <c r="WXR6"/>
      <c r="WXT6"/>
      <c r="WXV6"/>
      <c r="WXX6"/>
      <c r="WXZ6"/>
      <c r="WYB6"/>
      <c r="WYD6"/>
      <c r="WYF6"/>
      <c r="WYH6"/>
      <c r="WYJ6"/>
      <c r="WYL6"/>
      <c r="WYN6"/>
      <c r="WYP6"/>
      <c r="WYR6"/>
      <c r="WYT6"/>
      <c r="WYV6"/>
      <c r="WYX6"/>
      <c r="WYZ6"/>
      <c r="WZB6"/>
      <c r="WZD6"/>
      <c r="WZF6"/>
      <c r="WZH6"/>
      <c r="WZJ6"/>
      <c r="WZL6"/>
      <c r="WZN6"/>
      <c r="WZP6"/>
      <c r="WZR6"/>
      <c r="WZT6"/>
      <c r="WZV6"/>
      <c r="WZX6"/>
      <c r="WZZ6"/>
      <c r="XAB6"/>
      <c r="XAD6"/>
      <c r="XAF6"/>
      <c r="XAH6"/>
      <c r="XAJ6"/>
      <c r="XAL6"/>
      <c r="XAN6"/>
      <c r="XAP6"/>
      <c r="XAR6"/>
      <c r="XAT6"/>
      <c r="XAV6"/>
      <c r="XAX6"/>
      <c r="XAZ6"/>
      <c r="XBB6"/>
      <c r="XBD6"/>
      <c r="XBF6"/>
      <c r="XBH6"/>
      <c r="XBJ6"/>
      <c r="XBL6"/>
      <c r="XBN6"/>
      <c r="XBP6"/>
      <c r="XBR6"/>
      <c r="XBT6"/>
      <c r="XBV6"/>
      <c r="XBX6"/>
      <c r="XBZ6"/>
      <c r="XCB6"/>
      <c r="XCD6"/>
      <c r="XCF6"/>
      <c r="XCH6"/>
      <c r="XCJ6"/>
      <c r="XCL6"/>
      <c r="XCN6"/>
      <c r="XCP6"/>
      <c r="XCR6"/>
      <c r="XCT6"/>
      <c r="XCV6"/>
      <c r="XCX6"/>
      <c r="XCZ6"/>
      <c r="XDB6"/>
      <c r="XDD6"/>
      <c r="XDF6"/>
      <c r="XDH6"/>
      <c r="XDJ6"/>
      <c r="XDL6"/>
      <c r="XDN6"/>
      <c r="XDP6"/>
      <c r="XDR6"/>
      <c r="XDT6"/>
      <c r="XDV6"/>
      <c r="XDX6"/>
      <c r="XDZ6"/>
      <c r="XEB6"/>
      <c r="XED6"/>
      <c r="XEF6"/>
    </row>
    <row r="7" spans="1:1024 1026:2048 2050:3072 3074:4096 4098:5120 5122:6144 6146:7168 7170:8192 8194:9216 9218:10240 10242:11264 11266:12288 12290:13312 13314:14336 14338:15360 15362:16360" x14ac:dyDescent="0.2">
      <c r="A7" t="s">
        <v>132</v>
      </c>
      <c r="B7" t="s">
        <v>16</v>
      </c>
      <c r="C7">
        <v>37250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30000</v>
      </c>
      <c r="R7">
        <v>0</v>
      </c>
      <c r="S7">
        <v>0</v>
      </c>
      <c r="T7">
        <v>0</v>
      </c>
    </row>
    <row r="8" spans="1:1024 1026:2048 2050:3072 3074:4096 4098:5120 5122:6144 6146:7168 7170:8192 8194:9216 9218:10240 10242:11264 11266:12288 12290:13312 13314:14336 14338:15360 15362:16360" x14ac:dyDescent="0.2">
      <c r="A8" t="s">
        <v>133</v>
      </c>
      <c r="B8" t="s">
        <v>17</v>
      </c>
      <c r="C8">
        <v>36300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30000</v>
      </c>
      <c r="R8">
        <v>0</v>
      </c>
      <c r="S8">
        <v>0</v>
      </c>
      <c r="T8">
        <v>0</v>
      </c>
    </row>
    <row r="9" spans="1:1024 1026:2048 2050:3072 3074:4096 4098:5120 5122:6144 6146:7168 7170:8192 8194:9216 9218:10240 10242:11264 11266:12288 12290:13312 13314:14336 14338:15360 15362:16360" x14ac:dyDescent="0.2">
      <c r="A9" t="s">
        <v>134</v>
      </c>
      <c r="B9" t="s">
        <v>18</v>
      </c>
      <c r="C9">
        <v>24450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21000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1024 1026:2048 2050:3072 3074:4096 4098:5120 5122:6144 6146:7168 7170:8192 8194:9216 9218:10240 10242:11264 11266:12288 12290:13312 13314:14336 14338:15360 15362:16360" x14ac:dyDescent="0.2">
      <c r="A10" t="s">
        <v>135</v>
      </c>
      <c r="B10" t="s">
        <v>19</v>
      </c>
      <c r="C10">
        <v>11210</v>
      </c>
      <c r="D10">
        <v>0</v>
      </c>
      <c r="E10">
        <v>0</v>
      </c>
      <c r="F10">
        <v>0</v>
      </c>
      <c r="G10">
        <v>0</v>
      </c>
      <c r="H10">
        <v>9000</v>
      </c>
      <c r="I10">
        <v>0</v>
      </c>
      <c r="J10">
        <v>0</v>
      </c>
      <c r="K10">
        <v>9000</v>
      </c>
      <c r="L10">
        <v>0</v>
      </c>
      <c r="M10">
        <v>0</v>
      </c>
      <c r="N10">
        <v>0</v>
      </c>
      <c r="O10">
        <v>0</v>
      </c>
      <c r="P10">
        <v>9000</v>
      </c>
      <c r="Q10">
        <v>0</v>
      </c>
      <c r="R10">
        <v>0</v>
      </c>
      <c r="S10">
        <v>0</v>
      </c>
      <c r="T10">
        <v>0</v>
      </c>
    </row>
    <row r="11" spans="1:1024 1026:2048 2050:3072 3074:4096 4098:5120 5122:6144 6146:7168 7170:8192 8194:9216 9218:10240 10242:11264 11266:12288 12290:13312 13314:14336 14338:15360 15362:16360" x14ac:dyDescent="0.2">
      <c r="A11" t="s">
        <v>136</v>
      </c>
      <c r="B11" t="s">
        <v>20</v>
      </c>
      <c r="C11">
        <v>22410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1024 1026:2048 2050:3072 3074:4096 4098:5120 5122:6144 6146:7168 7170:8192 8194:9216 9218:10240 10242:11264 11266:12288 12290:13312 13314:14336 14338:15360 15362:16360" x14ac:dyDescent="0.2">
      <c r="A12" t="s">
        <v>137</v>
      </c>
      <c r="B12" t="s">
        <v>21</v>
      </c>
      <c r="C12">
        <v>11000</v>
      </c>
      <c r="D12">
        <v>0</v>
      </c>
      <c r="E12">
        <v>0</v>
      </c>
      <c r="F12">
        <v>0</v>
      </c>
      <c r="G12">
        <v>0</v>
      </c>
      <c r="H12">
        <v>9000</v>
      </c>
      <c r="I12">
        <v>0</v>
      </c>
      <c r="J12">
        <v>0</v>
      </c>
      <c r="K12">
        <v>9000</v>
      </c>
      <c r="L12">
        <v>0</v>
      </c>
      <c r="M12">
        <v>0</v>
      </c>
      <c r="N12">
        <v>0</v>
      </c>
      <c r="O12">
        <v>0</v>
      </c>
      <c r="P12">
        <v>9000</v>
      </c>
      <c r="Q12">
        <v>0</v>
      </c>
      <c r="R12">
        <v>0</v>
      </c>
      <c r="S12">
        <v>0</v>
      </c>
      <c r="T12">
        <v>0</v>
      </c>
    </row>
    <row r="13" spans="1:1024 1026:2048 2050:3072 3074:4096 4098:5120 5122:6144 6146:7168 7170:8192 8194:9216 9218:10240 10242:11264 11266:12288 12290:13312 13314:14336 14338:15360 15362:16360" x14ac:dyDescent="0.2">
      <c r="A13" t="s">
        <v>138</v>
      </c>
      <c r="B13" t="s">
        <v>22</v>
      </c>
      <c r="C13">
        <v>7840</v>
      </c>
      <c r="D13">
        <v>0</v>
      </c>
      <c r="E13">
        <v>0</v>
      </c>
      <c r="F13">
        <v>0</v>
      </c>
      <c r="G13">
        <v>6000</v>
      </c>
      <c r="H13">
        <v>0</v>
      </c>
      <c r="I13">
        <v>6000</v>
      </c>
      <c r="J13">
        <v>0</v>
      </c>
      <c r="K13">
        <v>6000</v>
      </c>
      <c r="L13">
        <v>0</v>
      </c>
      <c r="M13">
        <v>0</v>
      </c>
      <c r="N13">
        <v>0</v>
      </c>
      <c r="O13">
        <v>6000</v>
      </c>
      <c r="P13">
        <v>0</v>
      </c>
      <c r="Q13">
        <v>6000</v>
      </c>
      <c r="R13">
        <v>0</v>
      </c>
      <c r="S13">
        <v>0</v>
      </c>
      <c r="T13">
        <v>0</v>
      </c>
    </row>
    <row r="14" spans="1:1024 1026:2048 2050:3072 3074:4096 4098:5120 5122:6144 6146:7168 7170:8192 8194:9216 9218:10240 10242:11264 11266:12288 12290:13312 13314:14336 14338:15360 15362:16360" x14ac:dyDescent="0.2">
      <c r="A14" t="s">
        <v>139</v>
      </c>
      <c r="B14" t="s">
        <v>23</v>
      </c>
      <c r="C14">
        <v>7530</v>
      </c>
      <c r="D14">
        <v>0</v>
      </c>
      <c r="E14">
        <v>0</v>
      </c>
      <c r="F14">
        <v>0</v>
      </c>
      <c r="G14">
        <v>6000</v>
      </c>
      <c r="H14">
        <v>0</v>
      </c>
      <c r="I14">
        <v>6000</v>
      </c>
      <c r="J14">
        <v>0</v>
      </c>
      <c r="K14">
        <v>6000</v>
      </c>
      <c r="L14">
        <v>0</v>
      </c>
      <c r="M14">
        <v>0</v>
      </c>
      <c r="N14">
        <v>0</v>
      </c>
      <c r="O14">
        <v>6000</v>
      </c>
      <c r="P14">
        <v>0</v>
      </c>
      <c r="Q14">
        <v>6000</v>
      </c>
      <c r="R14">
        <v>0</v>
      </c>
      <c r="S14">
        <v>0</v>
      </c>
      <c r="T14">
        <v>0</v>
      </c>
    </row>
    <row r="15" spans="1:1024 1026:2048 2050:3072 3074:4096 4098:5120 5122:6144 6146:7168 7170:8192 8194:9216 9218:10240 10242:11264 11266:12288 12290:13312 13314:14336 14338:15360 15362:16360" x14ac:dyDescent="0.2">
      <c r="A15" t="s">
        <v>140</v>
      </c>
      <c r="B15" t="s">
        <v>24</v>
      </c>
      <c r="C15">
        <v>11000</v>
      </c>
      <c r="D15">
        <v>0</v>
      </c>
      <c r="E15">
        <v>0</v>
      </c>
      <c r="F15">
        <v>0</v>
      </c>
      <c r="G15">
        <v>0</v>
      </c>
      <c r="H15">
        <v>9000</v>
      </c>
      <c r="I15">
        <v>0</v>
      </c>
      <c r="J15">
        <v>0</v>
      </c>
      <c r="K15">
        <v>9000</v>
      </c>
      <c r="L15">
        <v>0</v>
      </c>
      <c r="M15">
        <v>0</v>
      </c>
      <c r="N15">
        <v>0</v>
      </c>
      <c r="O15">
        <v>0</v>
      </c>
      <c r="P15">
        <v>9000</v>
      </c>
      <c r="Q15">
        <v>0</v>
      </c>
      <c r="R15">
        <v>0</v>
      </c>
      <c r="S15">
        <v>0</v>
      </c>
      <c r="T15">
        <v>0</v>
      </c>
    </row>
    <row r="16" spans="1:1024 1026:2048 2050:3072 3074:4096 4098:5120 5122:6144 6146:7168 7170:8192 8194:9216 9218:10240 10242:11264 11266:12288 12290:13312 13314:14336 14338:15360 15362:16360" x14ac:dyDescent="0.2">
      <c r="A16" t="s">
        <v>141</v>
      </c>
      <c r="B16" t="s">
        <v>25</v>
      </c>
      <c r="C16">
        <v>7300</v>
      </c>
      <c r="D16">
        <v>0</v>
      </c>
      <c r="E16">
        <v>0</v>
      </c>
      <c r="F16">
        <v>0</v>
      </c>
      <c r="G16">
        <v>6000</v>
      </c>
      <c r="H16">
        <v>0</v>
      </c>
      <c r="I16">
        <v>6000</v>
      </c>
      <c r="J16">
        <v>0</v>
      </c>
      <c r="K16">
        <v>6000</v>
      </c>
      <c r="L16">
        <v>0</v>
      </c>
      <c r="M16">
        <v>0</v>
      </c>
      <c r="N16">
        <v>0</v>
      </c>
      <c r="O16">
        <v>6000</v>
      </c>
      <c r="P16">
        <v>0</v>
      </c>
      <c r="Q16">
        <v>6000</v>
      </c>
      <c r="R16">
        <v>0</v>
      </c>
      <c r="S16">
        <v>0</v>
      </c>
      <c r="T16">
        <v>0</v>
      </c>
    </row>
    <row r="18" spans="1:20" x14ac:dyDescent="0.2">
      <c r="A18" s="14" t="s">
        <v>507</v>
      </c>
      <c r="B18" s="9"/>
    </row>
    <row r="19" spans="1:20" x14ac:dyDescent="0.2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20" x14ac:dyDescent="0.2">
      <c r="A20" t="s">
        <v>128</v>
      </c>
      <c r="B20" t="s">
        <v>12</v>
      </c>
      <c r="C20">
        <v>3000</v>
      </c>
      <c r="D20">
        <v>9000</v>
      </c>
      <c r="E20">
        <v>0</v>
      </c>
      <c r="F20">
        <v>0</v>
      </c>
      <c r="G20">
        <v>5000</v>
      </c>
      <c r="H20">
        <v>3000</v>
      </c>
      <c r="I20">
        <v>3000</v>
      </c>
      <c r="J20">
        <v>3000</v>
      </c>
      <c r="K20">
        <v>3000</v>
      </c>
      <c r="L20">
        <v>0</v>
      </c>
      <c r="M20">
        <v>0</v>
      </c>
      <c r="N20">
        <v>3000</v>
      </c>
      <c r="O20">
        <v>3000</v>
      </c>
      <c r="P20">
        <v>3000</v>
      </c>
      <c r="Q20">
        <v>3000</v>
      </c>
      <c r="R20">
        <v>3000</v>
      </c>
      <c r="S20">
        <v>0</v>
      </c>
      <c r="T20">
        <v>0</v>
      </c>
    </row>
    <row r="21" spans="1:20" x14ac:dyDescent="0.2">
      <c r="A21" t="s">
        <v>129</v>
      </c>
      <c r="B21" t="s">
        <v>13</v>
      </c>
      <c r="C21">
        <v>3000</v>
      </c>
      <c r="D21">
        <v>9000</v>
      </c>
      <c r="E21">
        <v>0</v>
      </c>
      <c r="F21">
        <v>0</v>
      </c>
      <c r="G21">
        <v>5000</v>
      </c>
      <c r="H21">
        <v>3000</v>
      </c>
      <c r="I21">
        <v>3000</v>
      </c>
      <c r="J21">
        <v>3000</v>
      </c>
      <c r="K21">
        <v>3000</v>
      </c>
      <c r="L21">
        <v>0</v>
      </c>
      <c r="M21">
        <v>0</v>
      </c>
      <c r="N21">
        <v>3000</v>
      </c>
      <c r="O21">
        <v>3000</v>
      </c>
      <c r="P21">
        <v>3000</v>
      </c>
      <c r="Q21">
        <v>3000</v>
      </c>
      <c r="R21">
        <v>3000</v>
      </c>
      <c r="S21">
        <v>0</v>
      </c>
      <c r="T21">
        <v>0</v>
      </c>
    </row>
    <row r="22" spans="1:20" x14ac:dyDescent="0.2">
      <c r="A22" t="s">
        <v>130</v>
      </c>
      <c r="B22" t="s">
        <v>14</v>
      </c>
      <c r="C22">
        <v>3000</v>
      </c>
      <c r="D22">
        <v>9000</v>
      </c>
      <c r="E22">
        <v>0</v>
      </c>
      <c r="F22">
        <v>0</v>
      </c>
      <c r="G22">
        <v>5000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3000</v>
      </c>
      <c r="O22">
        <v>3000</v>
      </c>
      <c r="P22">
        <v>3000</v>
      </c>
      <c r="Q22">
        <v>3000</v>
      </c>
      <c r="R22">
        <v>3000</v>
      </c>
      <c r="S22">
        <v>0</v>
      </c>
      <c r="T22">
        <v>0</v>
      </c>
    </row>
    <row r="23" spans="1:20" x14ac:dyDescent="0.2">
      <c r="A23" t="s">
        <v>131</v>
      </c>
      <c r="B23" t="s">
        <v>15</v>
      </c>
      <c r="C23">
        <v>3000</v>
      </c>
      <c r="D23">
        <v>9000</v>
      </c>
      <c r="E23">
        <v>0</v>
      </c>
      <c r="F23">
        <v>0</v>
      </c>
      <c r="G23">
        <v>5000</v>
      </c>
      <c r="H23">
        <v>3000</v>
      </c>
      <c r="I23">
        <v>3000</v>
      </c>
      <c r="J23">
        <v>3000</v>
      </c>
      <c r="K23">
        <v>3000</v>
      </c>
      <c r="L23">
        <v>0</v>
      </c>
      <c r="M23">
        <v>0</v>
      </c>
      <c r="N23">
        <v>3000</v>
      </c>
      <c r="O23">
        <v>3000</v>
      </c>
      <c r="P23">
        <v>3000</v>
      </c>
      <c r="Q23">
        <v>3000</v>
      </c>
      <c r="R23">
        <v>3000</v>
      </c>
      <c r="S23">
        <v>0</v>
      </c>
      <c r="T23">
        <v>0</v>
      </c>
    </row>
    <row r="24" spans="1:20" x14ac:dyDescent="0.2">
      <c r="A24" t="s">
        <v>437</v>
      </c>
      <c r="B24" s="5" t="s">
        <v>438</v>
      </c>
      <c r="C24">
        <v>3000</v>
      </c>
      <c r="D24">
        <v>9000</v>
      </c>
      <c r="E24">
        <v>0</v>
      </c>
      <c r="F24">
        <v>0</v>
      </c>
      <c r="G24">
        <v>5000</v>
      </c>
      <c r="H24">
        <v>3000</v>
      </c>
      <c r="I24">
        <v>3000</v>
      </c>
      <c r="J24">
        <v>3000</v>
      </c>
      <c r="K24">
        <v>3000</v>
      </c>
      <c r="L24">
        <v>0</v>
      </c>
      <c r="M24">
        <v>0</v>
      </c>
      <c r="N24">
        <v>3000</v>
      </c>
      <c r="O24">
        <v>3000</v>
      </c>
      <c r="P24">
        <v>3000</v>
      </c>
      <c r="Q24">
        <v>3000</v>
      </c>
      <c r="R24">
        <v>3000</v>
      </c>
      <c r="S24">
        <v>0</v>
      </c>
      <c r="T24">
        <v>0</v>
      </c>
    </row>
    <row r="25" spans="1:20" x14ac:dyDescent="0.2">
      <c r="A25" t="s">
        <v>132</v>
      </c>
      <c r="B25" t="s">
        <v>16</v>
      </c>
      <c r="C25">
        <v>3000</v>
      </c>
      <c r="D25">
        <v>9000</v>
      </c>
      <c r="E25">
        <v>0</v>
      </c>
      <c r="F25">
        <v>0</v>
      </c>
      <c r="G25">
        <v>5000</v>
      </c>
      <c r="H25">
        <v>3000</v>
      </c>
      <c r="I25">
        <v>3000</v>
      </c>
      <c r="J25">
        <v>3000</v>
      </c>
      <c r="K25">
        <v>3000</v>
      </c>
      <c r="L25">
        <v>0</v>
      </c>
      <c r="M25">
        <v>0</v>
      </c>
      <c r="N25">
        <v>3000</v>
      </c>
      <c r="O25">
        <v>3000</v>
      </c>
      <c r="P25">
        <v>3000</v>
      </c>
      <c r="Q25">
        <v>3000</v>
      </c>
      <c r="R25">
        <v>3000</v>
      </c>
      <c r="S25">
        <v>0</v>
      </c>
      <c r="T25">
        <v>0</v>
      </c>
    </row>
    <row r="26" spans="1:20" x14ac:dyDescent="0.2">
      <c r="A26" t="s">
        <v>133</v>
      </c>
      <c r="B26" t="s">
        <v>17</v>
      </c>
      <c r="C26">
        <v>3000</v>
      </c>
      <c r="D26">
        <v>9000</v>
      </c>
      <c r="E26">
        <v>0</v>
      </c>
      <c r="F26">
        <v>0</v>
      </c>
      <c r="G26">
        <v>5000</v>
      </c>
      <c r="H26">
        <v>3000</v>
      </c>
      <c r="I26">
        <v>3000</v>
      </c>
      <c r="J26">
        <v>3000</v>
      </c>
      <c r="K26">
        <v>3000</v>
      </c>
      <c r="L26">
        <v>0</v>
      </c>
      <c r="M26">
        <v>0</v>
      </c>
      <c r="N26">
        <v>3000</v>
      </c>
      <c r="O26">
        <v>3000</v>
      </c>
      <c r="P26">
        <v>3000</v>
      </c>
      <c r="Q26">
        <v>3000</v>
      </c>
      <c r="R26">
        <v>3000</v>
      </c>
      <c r="S26">
        <v>0</v>
      </c>
      <c r="T26">
        <v>0</v>
      </c>
    </row>
    <row r="27" spans="1:20" x14ac:dyDescent="0.2">
      <c r="A27" t="s">
        <v>134</v>
      </c>
      <c r="B27" t="s">
        <v>18</v>
      </c>
      <c r="C27">
        <v>3000</v>
      </c>
      <c r="D27">
        <v>9000</v>
      </c>
      <c r="E27">
        <v>0</v>
      </c>
      <c r="F27">
        <v>0</v>
      </c>
      <c r="G27">
        <v>5000</v>
      </c>
      <c r="H27">
        <v>3000</v>
      </c>
      <c r="I27">
        <v>3000</v>
      </c>
      <c r="J27">
        <v>3000</v>
      </c>
      <c r="K27">
        <v>3000</v>
      </c>
      <c r="L27">
        <v>0</v>
      </c>
      <c r="M27">
        <v>0</v>
      </c>
      <c r="N27">
        <v>3000</v>
      </c>
      <c r="O27">
        <v>3000</v>
      </c>
      <c r="P27">
        <v>3000</v>
      </c>
      <c r="Q27">
        <v>3000</v>
      </c>
      <c r="R27">
        <v>3000</v>
      </c>
      <c r="S27">
        <v>0</v>
      </c>
      <c r="T27">
        <v>0</v>
      </c>
    </row>
    <row r="28" spans="1:20" x14ac:dyDescent="0.2">
      <c r="A28" t="s">
        <v>135</v>
      </c>
      <c r="B28" t="s">
        <v>19</v>
      </c>
      <c r="C28">
        <v>3000</v>
      </c>
      <c r="D28">
        <v>9000</v>
      </c>
      <c r="E28">
        <v>0</v>
      </c>
      <c r="F28">
        <v>0</v>
      </c>
      <c r="G28">
        <v>5000</v>
      </c>
      <c r="H28">
        <v>3000</v>
      </c>
      <c r="I28">
        <v>3000</v>
      </c>
      <c r="J28">
        <v>3000</v>
      </c>
      <c r="K28">
        <v>3000</v>
      </c>
      <c r="L28">
        <v>0</v>
      </c>
      <c r="M28">
        <v>0</v>
      </c>
      <c r="N28">
        <v>3000</v>
      </c>
      <c r="O28">
        <v>3000</v>
      </c>
      <c r="P28">
        <v>3000</v>
      </c>
      <c r="Q28">
        <v>3000</v>
      </c>
      <c r="R28">
        <v>3000</v>
      </c>
      <c r="S28">
        <v>0</v>
      </c>
      <c r="T28">
        <v>0</v>
      </c>
    </row>
    <row r="29" spans="1:20" x14ac:dyDescent="0.2">
      <c r="A29" t="s">
        <v>136</v>
      </c>
      <c r="B29" t="s">
        <v>20</v>
      </c>
      <c r="C29">
        <v>3000</v>
      </c>
      <c r="D29">
        <v>9000</v>
      </c>
      <c r="E29">
        <v>0</v>
      </c>
      <c r="F29">
        <v>0</v>
      </c>
      <c r="G29">
        <v>5000</v>
      </c>
      <c r="H29">
        <v>3000</v>
      </c>
      <c r="I29">
        <v>3000</v>
      </c>
      <c r="J29">
        <v>3000</v>
      </c>
      <c r="K29">
        <v>3000</v>
      </c>
      <c r="L29">
        <v>0</v>
      </c>
      <c r="M29">
        <v>0</v>
      </c>
      <c r="N29">
        <v>3000</v>
      </c>
      <c r="O29">
        <v>3000</v>
      </c>
      <c r="P29">
        <v>3000</v>
      </c>
      <c r="Q29">
        <v>3000</v>
      </c>
      <c r="R29">
        <v>3000</v>
      </c>
      <c r="S29">
        <v>0</v>
      </c>
      <c r="T29">
        <v>0</v>
      </c>
    </row>
    <row r="30" spans="1:20" x14ac:dyDescent="0.2">
      <c r="A30" t="s">
        <v>137</v>
      </c>
      <c r="B30" t="s">
        <v>21</v>
      </c>
      <c r="C30">
        <v>3000</v>
      </c>
      <c r="D30">
        <v>9000</v>
      </c>
      <c r="E30">
        <v>0</v>
      </c>
      <c r="F30">
        <v>0</v>
      </c>
      <c r="G30">
        <v>5000</v>
      </c>
      <c r="H30">
        <v>3000</v>
      </c>
      <c r="I30">
        <v>3000</v>
      </c>
      <c r="J30">
        <v>3000</v>
      </c>
      <c r="K30">
        <v>3000</v>
      </c>
      <c r="L30">
        <v>0</v>
      </c>
      <c r="M30">
        <v>0</v>
      </c>
      <c r="N30">
        <v>3000</v>
      </c>
      <c r="O30">
        <v>3000</v>
      </c>
      <c r="P30">
        <v>3000</v>
      </c>
      <c r="Q30">
        <v>3000</v>
      </c>
      <c r="R30">
        <v>3000</v>
      </c>
      <c r="S30">
        <v>0</v>
      </c>
      <c r="T30">
        <v>0</v>
      </c>
    </row>
    <row r="31" spans="1:20" x14ac:dyDescent="0.2">
      <c r="A31" t="s">
        <v>138</v>
      </c>
      <c r="B31" t="s">
        <v>22</v>
      </c>
      <c r="C31">
        <v>3000</v>
      </c>
      <c r="D31">
        <v>9000</v>
      </c>
      <c r="E31">
        <v>0</v>
      </c>
      <c r="F31">
        <v>0</v>
      </c>
      <c r="G31">
        <v>5000</v>
      </c>
      <c r="H31">
        <v>3000</v>
      </c>
      <c r="I31">
        <v>3000</v>
      </c>
      <c r="J31">
        <v>3000</v>
      </c>
      <c r="K31">
        <v>3000</v>
      </c>
      <c r="L31">
        <v>0</v>
      </c>
      <c r="M31">
        <v>0</v>
      </c>
      <c r="N31">
        <v>3000</v>
      </c>
      <c r="O31">
        <v>3000</v>
      </c>
      <c r="P31">
        <v>3000</v>
      </c>
      <c r="Q31">
        <v>3000</v>
      </c>
      <c r="R31">
        <v>3000</v>
      </c>
      <c r="S31">
        <v>0</v>
      </c>
      <c r="T31">
        <v>0</v>
      </c>
    </row>
    <row r="32" spans="1:20" x14ac:dyDescent="0.2">
      <c r="A32" t="s">
        <v>139</v>
      </c>
      <c r="B32" t="s">
        <v>23</v>
      </c>
      <c r="C32">
        <v>3000</v>
      </c>
      <c r="D32">
        <v>9000</v>
      </c>
      <c r="E32">
        <v>0</v>
      </c>
      <c r="F32">
        <v>0</v>
      </c>
      <c r="G32">
        <v>5000</v>
      </c>
      <c r="H32">
        <v>3000</v>
      </c>
      <c r="I32">
        <v>3000</v>
      </c>
      <c r="J32">
        <v>3000</v>
      </c>
      <c r="K32">
        <v>3000</v>
      </c>
      <c r="L32">
        <v>0</v>
      </c>
      <c r="M32">
        <v>0</v>
      </c>
      <c r="N32">
        <v>3000</v>
      </c>
      <c r="O32">
        <v>3000</v>
      </c>
      <c r="P32">
        <v>3000</v>
      </c>
      <c r="Q32">
        <v>3000</v>
      </c>
      <c r="R32">
        <v>3000</v>
      </c>
      <c r="S32">
        <v>0</v>
      </c>
      <c r="T32">
        <v>0</v>
      </c>
    </row>
    <row r="33" spans="1:22" x14ac:dyDescent="0.2">
      <c r="A33" t="s">
        <v>140</v>
      </c>
      <c r="B33" t="s">
        <v>24</v>
      </c>
      <c r="C33">
        <v>3000</v>
      </c>
      <c r="D33">
        <v>9000</v>
      </c>
      <c r="E33">
        <v>0</v>
      </c>
      <c r="F33">
        <v>0</v>
      </c>
      <c r="G33">
        <v>5000</v>
      </c>
      <c r="H33">
        <v>3000</v>
      </c>
      <c r="I33">
        <v>3000</v>
      </c>
      <c r="J33">
        <v>3000</v>
      </c>
      <c r="K33">
        <v>3000</v>
      </c>
      <c r="L33">
        <v>0</v>
      </c>
      <c r="M33">
        <v>0</v>
      </c>
      <c r="N33">
        <v>3000</v>
      </c>
      <c r="O33">
        <v>3000</v>
      </c>
      <c r="P33">
        <v>3000</v>
      </c>
      <c r="Q33">
        <v>3000</v>
      </c>
      <c r="R33">
        <v>3000</v>
      </c>
      <c r="S33">
        <v>0</v>
      </c>
      <c r="T33">
        <v>0</v>
      </c>
    </row>
    <row r="34" spans="1:22" x14ac:dyDescent="0.2">
      <c r="A34" t="s">
        <v>141</v>
      </c>
      <c r="B34" t="s">
        <v>25</v>
      </c>
      <c r="C34">
        <v>3000</v>
      </c>
      <c r="D34">
        <v>9000</v>
      </c>
      <c r="E34">
        <v>0</v>
      </c>
      <c r="F34">
        <v>0</v>
      </c>
      <c r="G34">
        <v>5000</v>
      </c>
      <c r="H34">
        <v>3000</v>
      </c>
      <c r="I34">
        <v>3000</v>
      </c>
      <c r="J34">
        <v>3000</v>
      </c>
      <c r="K34">
        <v>3000</v>
      </c>
      <c r="L34">
        <v>0</v>
      </c>
      <c r="M34">
        <v>0</v>
      </c>
      <c r="N34">
        <v>3000</v>
      </c>
      <c r="O34">
        <v>3000</v>
      </c>
      <c r="P34">
        <v>3000</v>
      </c>
      <c r="Q34">
        <v>3000</v>
      </c>
      <c r="R34">
        <v>3000</v>
      </c>
      <c r="S34">
        <v>0</v>
      </c>
      <c r="T34">
        <v>0</v>
      </c>
    </row>
    <row r="35" spans="1:22" x14ac:dyDescent="0.2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22" x14ac:dyDescent="0.2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22" x14ac:dyDescent="0.2">
      <c r="A37" s="14" t="s">
        <v>506</v>
      </c>
      <c r="B37" s="16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22" x14ac:dyDescent="0.2"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U38" s="15" t="s">
        <v>508</v>
      </c>
      <c r="V38" s="15" t="s">
        <v>509</v>
      </c>
    </row>
    <row r="39" spans="1:22" x14ac:dyDescent="0.2">
      <c r="A39" t="s">
        <v>128</v>
      </c>
      <c r="B39" t="s">
        <v>12</v>
      </c>
      <c r="C39">
        <f>$C2-$C20</f>
        <v>630.00000000000045</v>
      </c>
      <c r="D39">
        <f>C$39+D$2-D$20</f>
        <v>-5370</v>
      </c>
      <c r="E39">
        <v>0</v>
      </c>
      <c r="F39">
        <v>0</v>
      </c>
      <c r="G39">
        <f>D$39+G$2-G$20</f>
        <v>-7370</v>
      </c>
      <c r="H39">
        <f>G$39+H$2-H$20</f>
        <v>-7370</v>
      </c>
      <c r="I39">
        <f t="shared" ref="I39:K39" si="0">H$39+I$2-I$20</f>
        <v>-7370</v>
      </c>
      <c r="J39">
        <f t="shared" si="0"/>
        <v>-7370</v>
      </c>
      <c r="K39">
        <f t="shared" si="0"/>
        <v>-7370</v>
      </c>
      <c r="L39">
        <v>0</v>
      </c>
      <c r="M39">
        <v>0</v>
      </c>
      <c r="N39">
        <f>K$39+N$2-N$20</f>
        <v>-7370</v>
      </c>
      <c r="O39">
        <f>N$39+O$2-O$20</f>
        <v>-7370</v>
      </c>
      <c r="P39">
        <f t="shared" ref="P39:R39" si="1">O$39+P$2-P$20</f>
        <v>-7370</v>
      </c>
      <c r="Q39">
        <f t="shared" si="1"/>
        <v>-7370</v>
      </c>
      <c r="R39">
        <f t="shared" si="1"/>
        <v>-7370</v>
      </c>
      <c r="S39">
        <v>0</v>
      </c>
      <c r="T39">
        <v>0</v>
      </c>
      <c r="U39">
        <v>1</v>
      </c>
    </row>
    <row r="40" spans="1:22" x14ac:dyDescent="0.2">
      <c r="A40" t="s">
        <v>129</v>
      </c>
      <c r="B40" t="s">
        <v>13</v>
      </c>
      <c r="C40">
        <f t="shared" ref="C40:C53" si="2">$C3-$C21</f>
        <v>20410</v>
      </c>
      <c r="D40">
        <f>$C40+$D3-$D21</f>
        <v>11410</v>
      </c>
      <c r="E40">
        <v>0</v>
      </c>
      <c r="F40">
        <v>0</v>
      </c>
      <c r="G40">
        <f>$D40+$G3-$G21</f>
        <v>6410</v>
      </c>
      <c r="H40">
        <f>$G40+$H3-$H21</f>
        <v>3410</v>
      </c>
      <c r="I40">
        <f>$H40+$I3-$I21</f>
        <v>410</v>
      </c>
      <c r="J40">
        <f>$I40+$J3-$J21</f>
        <v>-2590</v>
      </c>
      <c r="K40">
        <f>$J40+$K3-$K21</f>
        <v>-5590</v>
      </c>
      <c r="L40">
        <v>0</v>
      </c>
      <c r="M40">
        <v>0</v>
      </c>
      <c r="N40">
        <f>$K40+N3-N21</f>
        <v>12410</v>
      </c>
      <c r="O40">
        <f>$N40+$O3-$O21</f>
        <v>9410</v>
      </c>
      <c r="P40">
        <f>$O40+$P3-$P21</f>
        <v>6410</v>
      </c>
      <c r="Q40">
        <f>$P40+$Q3-$Q21</f>
        <v>3410</v>
      </c>
      <c r="R40">
        <f>$Q40+$R3-$R21</f>
        <v>410</v>
      </c>
      <c r="S40">
        <v>0</v>
      </c>
      <c r="T40">
        <v>0</v>
      </c>
      <c r="U40">
        <v>7</v>
      </c>
      <c r="V40">
        <v>3</v>
      </c>
    </row>
    <row r="41" spans="1:22" x14ac:dyDescent="0.2">
      <c r="A41" t="s">
        <v>130</v>
      </c>
      <c r="B41" t="s">
        <v>14</v>
      </c>
      <c r="C41">
        <f t="shared" si="2"/>
        <v>4260</v>
      </c>
      <c r="D41">
        <f t="shared" ref="D41:D53" si="3">$C41+$D4-$D22</f>
        <v>-4740</v>
      </c>
      <c r="E41">
        <v>0</v>
      </c>
      <c r="F41">
        <v>0</v>
      </c>
      <c r="G41">
        <f t="shared" ref="G41:G53" si="4">$D41+$G4-$G22</f>
        <v>-3740</v>
      </c>
      <c r="H41">
        <f t="shared" ref="H41:H53" si="5">$G41+$H4-$H22</f>
        <v>-6740</v>
      </c>
      <c r="I41">
        <f t="shared" ref="I41:I53" si="6">$H41+$I4-$I22</f>
        <v>-3740</v>
      </c>
      <c r="J41">
        <f t="shared" ref="J41:J53" si="7">$I41+$J4-$J22</f>
        <v>-6740</v>
      </c>
      <c r="K41">
        <f t="shared" ref="K41:K53" si="8">$J41+$K4-$K22</f>
        <v>-3740</v>
      </c>
      <c r="L41">
        <v>0</v>
      </c>
      <c r="M41">
        <v>0</v>
      </c>
      <c r="N41">
        <f t="shared" ref="N41:N53" si="9">$K41+N4-N22</f>
        <v>-6740</v>
      </c>
      <c r="O41">
        <f t="shared" ref="O41:O53" si="10">$N41+$O4-$O22</f>
        <v>-3740</v>
      </c>
      <c r="P41">
        <f t="shared" ref="P41:P53" si="11">$O41+$P4-$P22</f>
        <v>-6740</v>
      </c>
      <c r="Q41">
        <f t="shared" ref="Q41:Q53" si="12">$P41+$Q4-$Q22</f>
        <v>-3740</v>
      </c>
      <c r="R41">
        <f t="shared" ref="R41:R53" si="13">$Q41+$R4-$R22</f>
        <v>-6740</v>
      </c>
      <c r="S41">
        <v>0</v>
      </c>
      <c r="T41">
        <v>0</v>
      </c>
      <c r="U41">
        <v>2</v>
      </c>
    </row>
    <row r="42" spans="1:22" x14ac:dyDescent="0.2">
      <c r="A42" t="s">
        <v>131</v>
      </c>
      <c r="B42" t="s">
        <v>15</v>
      </c>
      <c r="C42">
        <f t="shared" si="2"/>
        <v>940</v>
      </c>
      <c r="D42">
        <f t="shared" si="3"/>
        <v>-5060</v>
      </c>
      <c r="E42">
        <v>0</v>
      </c>
      <c r="F42">
        <v>0</v>
      </c>
      <c r="G42">
        <f t="shared" si="4"/>
        <v>-7060</v>
      </c>
      <c r="H42">
        <f t="shared" si="5"/>
        <v>-7060</v>
      </c>
      <c r="I42">
        <f t="shared" si="6"/>
        <v>-7060</v>
      </c>
      <c r="J42">
        <f t="shared" si="7"/>
        <v>-7060</v>
      </c>
      <c r="K42">
        <f t="shared" si="8"/>
        <v>-7060</v>
      </c>
      <c r="L42">
        <v>0</v>
      </c>
      <c r="M42">
        <v>0</v>
      </c>
      <c r="N42">
        <f t="shared" si="9"/>
        <v>-7060</v>
      </c>
      <c r="O42">
        <f t="shared" si="10"/>
        <v>-7060</v>
      </c>
      <c r="P42">
        <f t="shared" si="11"/>
        <v>-7060</v>
      </c>
      <c r="Q42">
        <f t="shared" si="12"/>
        <v>-7060</v>
      </c>
      <c r="R42">
        <f t="shared" si="13"/>
        <v>-7060</v>
      </c>
      <c r="S42">
        <v>0</v>
      </c>
      <c r="T42">
        <v>0</v>
      </c>
      <c r="U42">
        <v>1</v>
      </c>
    </row>
    <row r="43" spans="1:22" x14ac:dyDescent="0.2">
      <c r="A43" t="s">
        <v>437</v>
      </c>
      <c r="B43" s="5" t="s">
        <v>438</v>
      </c>
      <c r="C43">
        <f t="shared" si="2"/>
        <v>4260.0000000000009</v>
      </c>
      <c r="D43">
        <f t="shared" si="3"/>
        <v>-4739.9999999999991</v>
      </c>
      <c r="E43">
        <v>0</v>
      </c>
      <c r="F43">
        <v>0</v>
      </c>
      <c r="G43">
        <f t="shared" si="4"/>
        <v>-3739.9999999999991</v>
      </c>
      <c r="H43">
        <f t="shared" si="5"/>
        <v>-6739.9999999999991</v>
      </c>
      <c r="I43">
        <f t="shared" si="6"/>
        <v>-3739.9999999999991</v>
      </c>
      <c r="J43">
        <f t="shared" si="7"/>
        <v>-6739.9999999999991</v>
      </c>
      <c r="K43">
        <f t="shared" si="8"/>
        <v>-3739.9999999999991</v>
      </c>
      <c r="L43">
        <v>0</v>
      </c>
      <c r="M43">
        <v>0</v>
      </c>
      <c r="N43">
        <f t="shared" si="9"/>
        <v>-6739.9999999999991</v>
      </c>
      <c r="O43">
        <f t="shared" si="10"/>
        <v>-3739.9999999999991</v>
      </c>
      <c r="P43">
        <f t="shared" si="11"/>
        <v>-6739.9999999999991</v>
      </c>
      <c r="Q43">
        <f t="shared" si="12"/>
        <v>-3739.9999999999991</v>
      </c>
      <c r="R43">
        <f t="shared" si="13"/>
        <v>-6739.9999999999991</v>
      </c>
      <c r="S43">
        <v>0</v>
      </c>
      <c r="T43">
        <v>0</v>
      </c>
      <c r="U43">
        <v>2</v>
      </c>
    </row>
    <row r="44" spans="1:22" x14ac:dyDescent="0.2">
      <c r="A44" t="s">
        <v>132</v>
      </c>
      <c r="B44" t="s">
        <v>16</v>
      </c>
      <c r="C44">
        <f t="shared" si="2"/>
        <v>34250</v>
      </c>
      <c r="D44">
        <f t="shared" si="3"/>
        <v>25250</v>
      </c>
      <c r="E44">
        <v>0</v>
      </c>
      <c r="F44">
        <v>0</v>
      </c>
      <c r="G44">
        <f t="shared" si="4"/>
        <v>20250</v>
      </c>
      <c r="H44">
        <f t="shared" si="5"/>
        <v>17250</v>
      </c>
      <c r="I44">
        <f t="shared" si="6"/>
        <v>14250</v>
      </c>
      <c r="J44">
        <f t="shared" si="7"/>
        <v>11250</v>
      </c>
      <c r="K44">
        <f t="shared" si="8"/>
        <v>8250</v>
      </c>
      <c r="L44">
        <v>0</v>
      </c>
      <c r="M44">
        <v>0</v>
      </c>
      <c r="N44">
        <f t="shared" si="9"/>
        <v>5250</v>
      </c>
      <c r="O44">
        <f t="shared" si="10"/>
        <v>2250</v>
      </c>
      <c r="P44">
        <f t="shared" si="11"/>
        <v>-750</v>
      </c>
      <c r="Q44">
        <f t="shared" si="12"/>
        <v>26250</v>
      </c>
      <c r="R44">
        <f t="shared" si="13"/>
        <v>23250</v>
      </c>
      <c r="S44">
        <v>0</v>
      </c>
      <c r="T44">
        <v>0</v>
      </c>
      <c r="U44">
        <v>10</v>
      </c>
      <c r="V44">
        <v>3</v>
      </c>
    </row>
    <row r="45" spans="1:22" x14ac:dyDescent="0.2">
      <c r="A45" t="s">
        <v>133</v>
      </c>
      <c r="B45" t="s">
        <v>17</v>
      </c>
      <c r="C45">
        <f t="shared" si="2"/>
        <v>33300</v>
      </c>
      <c r="D45">
        <f t="shared" si="3"/>
        <v>24300</v>
      </c>
      <c r="E45">
        <v>0</v>
      </c>
      <c r="F45">
        <v>0</v>
      </c>
      <c r="G45">
        <f t="shared" si="4"/>
        <v>19300</v>
      </c>
      <c r="H45">
        <f t="shared" si="5"/>
        <v>16300</v>
      </c>
      <c r="I45">
        <f t="shared" si="6"/>
        <v>13300</v>
      </c>
      <c r="J45">
        <f t="shared" si="7"/>
        <v>10300</v>
      </c>
      <c r="K45">
        <f t="shared" si="8"/>
        <v>7300</v>
      </c>
      <c r="L45">
        <v>0</v>
      </c>
      <c r="M45">
        <v>0</v>
      </c>
      <c r="N45">
        <f t="shared" si="9"/>
        <v>4300</v>
      </c>
      <c r="O45">
        <f t="shared" si="10"/>
        <v>1300</v>
      </c>
      <c r="P45">
        <f t="shared" si="11"/>
        <v>-1700</v>
      </c>
      <c r="Q45">
        <f t="shared" si="12"/>
        <v>25300</v>
      </c>
      <c r="R45">
        <f t="shared" si="13"/>
        <v>22300</v>
      </c>
      <c r="S45">
        <v>0</v>
      </c>
      <c r="T45">
        <v>0</v>
      </c>
      <c r="U45">
        <v>10</v>
      </c>
      <c r="V45">
        <v>3</v>
      </c>
    </row>
    <row r="46" spans="1:22" x14ac:dyDescent="0.2">
      <c r="A46" t="s">
        <v>134</v>
      </c>
      <c r="B46" t="s">
        <v>18</v>
      </c>
      <c r="C46">
        <f t="shared" si="2"/>
        <v>21450</v>
      </c>
      <c r="D46">
        <f t="shared" si="3"/>
        <v>12450</v>
      </c>
      <c r="E46">
        <v>0</v>
      </c>
      <c r="F46">
        <v>0</v>
      </c>
      <c r="G46">
        <f t="shared" si="4"/>
        <v>7450</v>
      </c>
      <c r="H46">
        <f t="shared" si="5"/>
        <v>4450</v>
      </c>
      <c r="I46">
        <f t="shared" si="6"/>
        <v>1450</v>
      </c>
      <c r="J46">
        <f t="shared" si="7"/>
        <v>-1550</v>
      </c>
      <c r="K46">
        <f t="shared" si="8"/>
        <v>-4550</v>
      </c>
      <c r="L46">
        <v>0</v>
      </c>
      <c r="M46">
        <v>0</v>
      </c>
      <c r="N46">
        <f t="shared" si="9"/>
        <v>13450</v>
      </c>
      <c r="O46">
        <f t="shared" si="10"/>
        <v>10450</v>
      </c>
      <c r="P46">
        <f t="shared" si="11"/>
        <v>7450</v>
      </c>
      <c r="Q46">
        <f t="shared" si="12"/>
        <v>4450</v>
      </c>
      <c r="R46">
        <f t="shared" si="13"/>
        <v>1450</v>
      </c>
      <c r="S46">
        <v>0</v>
      </c>
      <c r="T46">
        <v>0</v>
      </c>
      <c r="U46">
        <v>7</v>
      </c>
      <c r="V46">
        <v>3</v>
      </c>
    </row>
    <row r="47" spans="1:22" x14ac:dyDescent="0.2">
      <c r="A47" t="s">
        <v>135</v>
      </c>
      <c r="B47" t="s">
        <v>19</v>
      </c>
      <c r="C47">
        <f t="shared" si="2"/>
        <v>8210</v>
      </c>
      <c r="D47">
        <f t="shared" si="3"/>
        <v>-790</v>
      </c>
      <c r="E47">
        <v>0</v>
      </c>
      <c r="F47">
        <v>0</v>
      </c>
      <c r="G47">
        <f t="shared" si="4"/>
        <v>-5790</v>
      </c>
      <c r="H47">
        <f t="shared" si="5"/>
        <v>210</v>
      </c>
      <c r="I47">
        <f t="shared" si="6"/>
        <v>-2790</v>
      </c>
      <c r="J47">
        <f t="shared" si="7"/>
        <v>-5790</v>
      </c>
      <c r="K47">
        <f t="shared" si="8"/>
        <v>210</v>
      </c>
      <c r="L47">
        <v>0</v>
      </c>
      <c r="M47">
        <v>0</v>
      </c>
      <c r="N47">
        <f t="shared" si="9"/>
        <v>-2790</v>
      </c>
      <c r="O47">
        <f t="shared" si="10"/>
        <v>-5790</v>
      </c>
      <c r="P47">
        <f t="shared" si="11"/>
        <v>210</v>
      </c>
      <c r="Q47">
        <f t="shared" si="12"/>
        <v>-2790</v>
      </c>
      <c r="R47">
        <f t="shared" si="13"/>
        <v>-5790</v>
      </c>
      <c r="S47">
        <v>0</v>
      </c>
      <c r="T47">
        <v>0</v>
      </c>
      <c r="U47">
        <v>3</v>
      </c>
    </row>
    <row r="48" spans="1:22" x14ac:dyDescent="0.2">
      <c r="A48" t="s">
        <v>136</v>
      </c>
      <c r="B48" t="s">
        <v>20</v>
      </c>
      <c r="C48">
        <f t="shared" si="2"/>
        <v>19410</v>
      </c>
      <c r="D48">
        <f t="shared" si="3"/>
        <v>10410</v>
      </c>
      <c r="E48">
        <v>0</v>
      </c>
      <c r="F48">
        <v>0</v>
      </c>
      <c r="G48">
        <f t="shared" si="4"/>
        <v>5410</v>
      </c>
      <c r="H48">
        <f t="shared" si="5"/>
        <v>2410</v>
      </c>
      <c r="I48">
        <f t="shared" si="6"/>
        <v>-590</v>
      </c>
      <c r="J48">
        <f t="shared" si="7"/>
        <v>-3590</v>
      </c>
      <c r="K48">
        <f t="shared" si="8"/>
        <v>-6590</v>
      </c>
      <c r="L48">
        <v>0</v>
      </c>
      <c r="M48">
        <v>0</v>
      </c>
      <c r="N48">
        <f t="shared" si="9"/>
        <v>11410</v>
      </c>
      <c r="O48">
        <f t="shared" si="10"/>
        <v>8410</v>
      </c>
      <c r="P48">
        <f t="shared" si="11"/>
        <v>5410</v>
      </c>
      <c r="Q48">
        <f t="shared" si="12"/>
        <v>2410</v>
      </c>
      <c r="R48">
        <f t="shared" si="13"/>
        <v>-590</v>
      </c>
      <c r="S48">
        <v>0</v>
      </c>
      <c r="T48">
        <v>0</v>
      </c>
      <c r="U48">
        <v>7</v>
      </c>
      <c r="V48">
        <v>3</v>
      </c>
    </row>
    <row r="49" spans="1:22" x14ac:dyDescent="0.2">
      <c r="A49" t="s">
        <v>137</v>
      </c>
      <c r="B49" t="s">
        <v>21</v>
      </c>
      <c r="C49">
        <f t="shared" si="2"/>
        <v>8000</v>
      </c>
      <c r="D49">
        <f t="shared" si="3"/>
        <v>-1000</v>
      </c>
      <c r="E49">
        <v>0</v>
      </c>
      <c r="F49">
        <v>0</v>
      </c>
      <c r="G49">
        <f t="shared" si="4"/>
        <v>-6000</v>
      </c>
      <c r="H49">
        <f t="shared" si="5"/>
        <v>0</v>
      </c>
      <c r="I49">
        <f t="shared" si="6"/>
        <v>-3000</v>
      </c>
      <c r="J49">
        <f t="shared" si="7"/>
        <v>-6000</v>
      </c>
      <c r="K49">
        <f t="shared" si="8"/>
        <v>0</v>
      </c>
      <c r="L49">
        <v>0</v>
      </c>
      <c r="M49">
        <v>0</v>
      </c>
      <c r="N49">
        <f t="shared" si="9"/>
        <v>-3000</v>
      </c>
      <c r="O49">
        <f t="shared" si="10"/>
        <v>-6000</v>
      </c>
      <c r="P49">
        <f t="shared" si="11"/>
        <v>0</v>
      </c>
      <c r="Q49">
        <f t="shared" si="12"/>
        <v>-3000</v>
      </c>
      <c r="R49">
        <f t="shared" si="13"/>
        <v>-6000</v>
      </c>
      <c r="S49">
        <v>0</v>
      </c>
      <c r="T49">
        <v>0</v>
      </c>
      <c r="U49">
        <v>3</v>
      </c>
      <c r="V49">
        <v>1</v>
      </c>
    </row>
    <row r="50" spans="1:22" x14ac:dyDescent="0.2">
      <c r="A50" t="s">
        <v>138</v>
      </c>
      <c r="B50" t="s">
        <v>22</v>
      </c>
      <c r="C50">
        <f t="shared" si="2"/>
        <v>4840</v>
      </c>
      <c r="D50">
        <f t="shared" si="3"/>
        <v>-4160</v>
      </c>
      <c r="E50">
        <v>0</v>
      </c>
      <c r="F50">
        <v>0</v>
      </c>
      <c r="G50">
        <f t="shared" si="4"/>
        <v>-3160</v>
      </c>
      <c r="H50">
        <f t="shared" si="5"/>
        <v>-6160</v>
      </c>
      <c r="I50">
        <f t="shared" si="6"/>
        <v>-3160</v>
      </c>
      <c r="J50">
        <f t="shared" si="7"/>
        <v>-6160</v>
      </c>
      <c r="K50">
        <f t="shared" si="8"/>
        <v>-3160</v>
      </c>
      <c r="L50">
        <v>0</v>
      </c>
      <c r="M50">
        <v>0</v>
      </c>
      <c r="N50">
        <f t="shared" si="9"/>
        <v>-6160</v>
      </c>
      <c r="O50">
        <f t="shared" si="10"/>
        <v>-3160</v>
      </c>
      <c r="P50">
        <f t="shared" si="11"/>
        <v>-6160</v>
      </c>
      <c r="Q50">
        <f t="shared" si="12"/>
        <v>-3160</v>
      </c>
      <c r="R50">
        <f t="shared" si="13"/>
        <v>-6160</v>
      </c>
      <c r="S50">
        <v>0</v>
      </c>
      <c r="T50">
        <v>0</v>
      </c>
      <c r="U50">
        <v>2</v>
      </c>
    </row>
    <row r="51" spans="1:22" x14ac:dyDescent="0.2">
      <c r="A51" t="s">
        <v>139</v>
      </c>
      <c r="B51" t="s">
        <v>23</v>
      </c>
      <c r="C51">
        <f t="shared" si="2"/>
        <v>4530</v>
      </c>
      <c r="D51">
        <f t="shared" si="3"/>
        <v>-4470</v>
      </c>
      <c r="E51">
        <v>0</v>
      </c>
      <c r="F51">
        <v>0</v>
      </c>
      <c r="G51">
        <f t="shared" si="4"/>
        <v>-3470</v>
      </c>
      <c r="H51">
        <f t="shared" si="5"/>
        <v>-6470</v>
      </c>
      <c r="I51">
        <f t="shared" si="6"/>
        <v>-3470</v>
      </c>
      <c r="J51">
        <f t="shared" si="7"/>
        <v>-6470</v>
      </c>
      <c r="K51">
        <f t="shared" si="8"/>
        <v>-3470</v>
      </c>
      <c r="L51">
        <v>0</v>
      </c>
      <c r="M51">
        <v>0</v>
      </c>
      <c r="N51">
        <f t="shared" si="9"/>
        <v>-6470</v>
      </c>
      <c r="O51">
        <f t="shared" si="10"/>
        <v>-3470</v>
      </c>
      <c r="P51">
        <f t="shared" si="11"/>
        <v>-6470</v>
      </c>
      <c r="Q51">
        <f t="shared" si="12"/>
        <v>-3470</v>
      </c>
      <c r="R51">
        <f t="shared" si="13"/>
        <v>-6470</v>
      </c>
      <c r="S51">
        <v>0</v>
      </c>
      <c r="T51">
        <v>0</v>
      </c>
      <c r="U51">
        <v>2</v>
      </c>
    </row>
    <row r="52" spans="1:22" x14ac:dyDescent="0.2">
      <c r="A52" t="s">
        <v>140</v>
      </c>
      <c r="B52" t="s">
        <v>24</v>
      </c>
      <c r="C52">
        <f t="shared" si="2"/>
        <v>8000</v>
      </c>
      <c r="D52">
        <f t="shared" si="3"/>
        <v>-1000</v>
      </c>
      <c r="E52">
        <v>0</v>
      </c>
      <c r="F52">
        <v>0</v>
      </c>
      <c r="G52">
        <f t="shared" si="4"/>
        <v>-6000</v>
      </c>
      <c r="H52">
        <f t="shared" si="5"/>
        <v>0</v>
      </c>
      <c r="I52">
        <f t="shared" si="6"/>
        <v>-3000</v>
      </c>
      <c r="J52">
        <f t="shared" si="7"/>
        <v>-6000</v>
      </c>
      <c r="K52">
        <f t="shared" si="8"/>
        <v>0</v>
      </c>
      <c r="L52">
        <v>0</v>
      </c>
      <c r="M52">
        <v>0</v>
      </c>
      <c r="N52">
        <f t="shared" si="9"/>
        <v>-3000</v>
      </c>
      <c r="O52">
        <f t="shared" si="10"/>
        <v>-6000</v>
      </c>
      <c r="P52">
        <f t="shared" si="11"/>
        <v>0</v>
      </c>
      <c r="Q52">
        <f t="shared" si="12"/>
        <v>-3000</v>
      </c>
      <c r="R52">
        <f t="shared" si="13"/>
        <v>-6000</v>
      </c>
      <c r="S52">
        <v>0</v>
      </c>
      <c r="T52">
        <v>0</v>
      </c>
      <c r="U52">
        <v>3</v>
      </c>
      <c r="V52">
        <v>1</v>
      </c>
    </row>
    <row r="53" spans="1:22" x14ac:dyDescent="0.2">
      <c r="A53" t="s">
        <v>141</v>
      </c>
      <c r="B53" t="s">
        <v>25</v>
      </c>
      <c r="C53">
        <f t="shared" si="2"/>
        <v>4300</v>
      </c>
      <c r="D53">
        <f t="shared" si="3"/>
        <v>-4700</v>
      </c>
      <c r="E53">
        <v>0</v>
      </c>
      <c r="F53">
        <v>0</v>
      </c>
      <c r="G53">
        <f t="shared" si="4"/>
        <v>-3700</v>
      </c>
      <c r="H53">
        <f t="shared" si="5"/>
        <v>-6700</v>
      </c>
      <c r="I53">
        <f t="shared" si="6"/>
        <v>-3700</v>
      </c>
      <c r="J53">
        <f t="shared" si="7"/>
        <v>-6700</v>
      </c>
      <c r="K53">
        <f t="shared" si="8"/>
        <v>-3700</v>
      </c>
      <c r="L53">
        <v>0</v>
      </c>
      <c r="M53">
        <v>0</v>
      </c>
      <c r="N53">
        <f t="shared" si="9"/>
        <v>-6700</v>
      </c>
      <c r="O53">
        <f t="shared" si="10"/>
        <v>-3700</v>
      </c>
      <c r="P53">
        <f t="shared" si="11"/>
        <v>-6700</v>
      </c>
      <c r="Q53">
        <f t="shared" si="12"/>
        <v>-3700</v>
      </c>
      <c r="R53">
        <f t="shared" si="13"/>
        <v>-6700</v>
      </c>
      <c r="S53">
        <v>0</v>
      </c>
      <c r="T53">
        <v>0</v>
      </c>
      <c r="U53">
        <v>2</v>
      </c>
    </row>
    <row r="54" spans="1:22" x14ac:dyDescent="0.2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U54" s="15"/>
    </row>
    <row r="55" spans="1:22" x14ac:dyDescent="0.2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22" x14ac:dyDescent="0.2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22" x14ac:dyDescent="0.2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22" x14ac:dyDescent="0.2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22" x14ac:dyDescent="0.2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22" x14ac:dyDescent="0.2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22" x14ac:dyDescent="0.2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22" x14ac:dyDescent="0.2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22" x14ac:dyDescent="0.2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22" x14ac:dyDescent="0.2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48AC-A0BB-41EF-88C7-84BC20D860F0}">
  <dimension ref="A1:V16"/>
  <sheetViews>
    <sheetView workbookViewId="0">
      <selection activeCell="W1" sqref="W1:W16"/>
    </sheetView>
  </sheetViews>
  <sheetFormatPr baseColWidth="10" defaultColWidth="8.83203125" defaultRowHeight="15" x14ac:dyDescent="0.2"/>
  <cols>
    <col min="3" max="3" width="5.83203125" customWidth="1"/>
    <col min="4" max="4" width="7.33203125" customWidth="1"/>
    <col min="5" max="5" width="6.33203125" customWidth="1"/>
    <col min="6" max="6" width="5.33203125" customWidth="1"/>
    <col min="7" max="7" width="8.33203125" customWidth="1"/>
    <col min="8" max="10" width="6.5" customWidth="1"/>
    <col min="11" max="11" width="5.83203125" customWidth="1"/>
    <col min="12" max="12" width="5.6640625" customWidth="1"/>
    <col min="13" max="13" width="5.5" customWidth="1"/>
    <col min="14" max="14" width="7.1640625" customWidth="1"/>
    <col min="15" max="15" width="6.1640625" customWidth="1"/>
    <col min="16" max="16" width="6.83203125" customWidth="1"/>
    <col min="17" max="17" width="7.1640625" customWidth="1"/>
    <col min="18" max="18" width="7.5" customWidth="1"/>
    <col min="19" max="20" width="5.1640625" customWidth="1"/>
    <col min="21" max="21" width="7.5" customWidth="1"/>
  </cols>
  <sheetData>
    <row r="1" spans="1:22" ht="51" x14ac:dyDescent="0.2">
      <c r="A1" t="s">
        <v>451</v>
      </c>
      <c r="B1" t="s">
        <v>450</v>
      </c>
      <c r="C1" s="8">
        <v>45029</v>
      </c>
      <c r="D1" s="8">
        <v>45030</v>
      </c>
      <c r="E1" s="8">
        <v>45031</v>
      </c>
      <c r="F1" s="8">
        <v>45032</v>
      </c>
      <c r="G1" s="8">
        <v>45033</v>
      </c>
      <c r="H1" s="8">
        <v>45034</v>
      </c>
      <c r="I1" s="8">
        <v>45035</v>
      </c>
      <c r="J1" s="8">
        <v>45036</v>
      </c>
      <c r="K1" s="8">
        <v>45037</v>
      </c>
      <c r="L1" s="8">
        <v>45038</v>
      </c>
      <c r="M1" s="8">
        <v>45039</v>
      </c>
      <c r="N1" s="8">
        <v>45040</v>
      </c>
      <c r="O1" s="8">
        <v>45041</v>
      </c>
      <c r="P1" s="8">
        <v>45042</v>
      </c>
      <c r="Q1" s="8">
        <v>45043</v>
      </c>
      <c r="R1" s="8">
        <v>45044</v>
      </c>
      <c r="S1" s="8">
        <v>45045</v>
      </c>
      <c r="T1" s="8">
        <v>45046</v>
      </c>
      <c r="U1" s="15" t="s">
        <v>508</v>
      </c>
      <c r="V1" s="15" t="s">
        <v>509</v>
      </c>
    </row>
    <row r="2" spans="1:22" x14ac:dyDescent="0.2">
      <c r="A2" t="s">
        <v>128</v>
      </c>
      <c r="B2" t="s">
        <v>12</v>
      </c>
      <c r="C2">
        <f>Sheet1!C39</f>
        <v>630.00000000000045</v>
      </c>
      <c r="D2">
        <f>Sheet1!D39</f>
        <v>-5370</v>
      </c>
      <c r="E2">
        <f>Sheet1!E39</f>
        <v>0</v>
      </c>
      <c r="F2">
        <f>Sheet1!F39</f>
        <v>0</v>
      </c>
      <c r="G2">
        <f>Sheet1!G39</f>
        <v>-7370</v>
      </c>
      <c r="H2">
        <f>Sheet1!H39</f>
        <v>-7370</v>
      </c>
      <c r="I2">
        <f>Sheet1!I39</f>
        <v>-7370</v>
      </c>
      <c r="J2">
        <f>Sheet1!J39</f>
        <v>-7370</v>
      </c>
      <c r="K2">
        <f>Sheet1!K39</f>
        <v>-7370</v>
      </c>
      <c r="L2">
        <f>Sheet1!L39</f>
        <v>0</v>
      </c>
      <c r="M2">
        <f>Sheet1!M39</f>
        <v>0</v>
      </c>
      <c r="N2">
        <f>Sheet1!N39</f>
        <v>-7370</v>
      </c>
      <c r="O2">
        <f>Sheet1!O39</f>
        <v>-7370</v>
      </c>
      <c r="P2">
        <f>Sheet1!P39</f>
        <v>-7370</v>
      </c>
      <c r="Q2">
        <f>Sheet1!Q39</f>
        <v>-7370</v>
      </c>
      <c r="R2">
        <f>Sheet1!R39</f>
        <v>-7370</v>
      </c>
      <c r="S2">
        <f>Sheet1!S39</f>
        <v>0</v>
      </c>
      <c r="T2">
        <f>Sheet1!T39</f>
        <v>0</v>
      </c>
      <c r="U2">
        <f>Sheet1!U39</f>
        <v>1</v>
      </c>
      <c r="V2">
        <f>Sheet1!V39</f>
        <v>0</v>
      </c>
    </row>
    <row r="3" spans="1:22" x14ac:dyDescent="0.2">
      <c r="A3" t="s">
        <v>129</v>
      </c>
      <c r="B3" t="s">
        <v>13</v>
      </c>
      <c r="C3">
        <f>Sheet1!C40</f>
        <v>20410</v>
      </c>
      <c r="D3">
        <f>Sheet1!D40</f>
        <v>11410</v>
      </c>
      <c r="E3">
        <f>Sheet1!E40</f>
        <v>0</v>
      </c>
      <c r="F3">
        <f>Sheet1!F40</f>
        <v>0</v>
      </c>
      <c r="G3">
        <f>Sheet1!G40</f>
        <v>6410</v>
      </c>
      <c r="H3">
        <f>Sheet1!H40</f>
        <v>3410</v>
      </c>
      <c r="I3">
        <f>Sheet1!I40</f>
        <v>410</v>
      </c>
      <c r="J3">
        <f>Sheet1!J40</f>
        <v>-2590</v>
      </c>
      <c r="K3">
        <f>Sheet1!K40</f>
        <v>-5590</v>
      </c>
      <c r="L3">
        <f>Sheet1!L40</f>
        <v>0</v>
      </c>
      <c r="M3">
        <f>Sheet1!M40</f>
        <v>0</v>
      </c>
      <c r="N3">
        <f>Sheet1!N40</f>
        <v>12410</v>
      </c>
      <c r="O3">
        <f>Sheet1!O40</f>
        <v>9410</v>
      </c>
      <c r="P3">
        <f>Sheet1!P40</f>
        <v>6410</v>
      </c>
      <c r="Q3">
        <f>Sheet1!Q40</f>
        <v>3410</v>
      </c>
      <c r="R3">
        <f>Sheet1!R40</f>
        <v>410</v>
      </c>
      <c r="S3">
        <f>Sheet1!S40</f>
        <v>0</v>
      </c>
      <c r="T3">
        <f>Sheet1!T40</f>
        <v>0</v>
      </c>
      <c r="U3">
        <f>Sheet1!U40</f>
        <v>7</v>
      </c>
      <c r="V3">
        <f>Sheet1!V40</f>
        <v>3</v>
      </c>
    </row>
    <row r="4" spans="1:22" x14ac:dyDescent="0.2">
      <c r="A4" t="s">
        <v>130</v>
      </c>
      <c r="B4" t="s">
        <v>14</v>
      </c>
      <c r="C4">
        <f>Sheet1!C41</f>
        <v>4260</v>
      </c>
      <c r="D4">
        <f>Sheet1!D41</f>
        <v>-4740</v>
      </c>
      <c r="E4">
        <f>Sheet1!E41</f>
        <v>0</v>
      </c>
      <c r="F4">
        <f>Sheet1!F41</f>
        <v>0</v>
      </c>
      <c r="G4">
        <f>Sheet1!G41</f>
        <v>-3740</v>
      </c>
      <c r="H4">
        <f>Sheet1!H41</f>
        <v>-6740</v>
      </c>
      <c r="I4">
        <f>Sheet1!I41</f>
        <v>-3740</v>
      </c>
      <c r="J4">
        <f>Sheet1!J41</f>
        <v>-6740</v>
      </c>
      <c r="K4">
        <f>Sheet1!K41</f>
        <v>-3740</v>
      </c>
      <c r="L4">
        <f>Sheet1!L41</f>
        <v>0</v>
      </c>
      <c r="M4">
        <f>Sheet1!M41</f>
        <v>0</v>
      </c>
      <c r="N4">
        <f>Sheet1!N41</f>
        <v>-6740</v>
      </c>
      <c r="O4">
        <f>Sheet1!O41</f>
        <v>-3740</v>
      </c>
      <c r="P4">
        <f>Sheet1!P41</f>
        <v>-6740</v>
      </c>
      <c r="Q4">
        <f>Sheet1!Q41</f>
        <v>-3740</v>
      </c>
      <c r="R4">
        <f>Sheet1!R41</f>
        <v>-6740</v>
      </c>
      <c r="S4">
        <f>Sheet1!S41</f>
        <v>0</v>
      </c>
      <c r="T4">
        <f>Sheet1!T41</f>
        <v>0</v>
      </c>
      <c r="U4">
        <f>Sheet1!U41</f>
        <v>2</v>
      </c>
      <c r="V4">
        <f>Sheet1!V41</f>
        <v>0</v>
      </c>
    </row>
    <row r="5" spans="1:22" x14ac:dyDescent="0.2">
      <c r="A5" t="s">
        <v>131</v>
      </c>
      <c r="B5" t="s">
        <v>15</v>
      </c>
      <c r="C5">
        <f>Sheet1!C42</f>
        <v>940</v>
      </c>
      <c r="D5">
        <f>Sheet1!D42</f>
        <v>-5060</v>
      </c>
      <c r="E5">
        <f>Sheet1!E42</f>
        <v>0</v>
      </c>
      <c r="F5">
        <f>Sheet1!F42</f>
        <v>0</v>
      </c>
      <c r="G5">
        <f>Sheet1!G42</f>
        <v>-7060</v>
      </c>
      <c r="H5">
        <f>Sheet1!H42</f>
        <v>-7060</v>
      </c>
      <c r="I5">
        <f>Sheet1!I42</f>
        <v>-7060</v>
      </c>
      <c r="J5">
        <f>Sheet1!J42</f>
        <v>-7060</v>
      </c>
      <c r="K5">
        <f>Sheet1!K42</f>
        <v>-7060</v>
      </c>
      <c r="L5">
        <f>Sheet1!L42</f>
        <v>0</v>
      </c>
      <c r="M5">
        <f>Sheet1!M42</f>
        <v>0</v>
      </c>
      <c r="N5">
        <f>Sheet1!N42</f>
        <v>-7060</v>
      </c>
      <c r="O5">
        <f>Sheet1!O42</f>
        <v>-7060</v>
      </c>
      <c r="P5">
        <f>Sheet1!P42</f>
        <v>-7060</v>
      </c>
      <c r="Q5">
        <f>Sheet1!Q42</f>
        <v>-7060</v>
      </c>
      <c r="R5">
        <f>Sheet1!R42</f>
        <v>-7060</v>
      </c>
      <c r="S5">
        <f>Sheet1!S42</f>
        <v>0</v>
      </c>
      <c r="T5">
        <f>Sheet1!T42</f>
        <v>0</v>
      </c>
      <c r="U5">
        <f>Sheet1!U42</f>
        <v>1</v>
      </c>
      <c r="V5">
        <f>Sheet1!V42</f>
        <v>0</v>
      </c>
    </row>
    <row r="6" spans="1:22" x14ac:dyDescent="0.2">
      <c r="A6" t="s">
        <v>437</v>
      </c>
      <c r="B6" s="5" t="s">
        <v>438</v>
      </c>
      <c r="C6">
        <f>Sheet1!C43</f>
        <v>4260.0000000000009</v>
      </c>
      <c r="D6">
        <f>Sheet1!D43</f>
        <v>-4739.9999999999991</v>
      </c>
      <c r="E6">
        <f>Sheet1!E43</f>
        <v>0</v>
      </c>
      <c r="F6">
        <f>Sheet1!F43</f>
        <v>0</v>
      </c>
      <c r="G6">
        <f>Sheet1!G43</f>
        <v>-3739.9999999999991</v>
      </c>
      <c r="H6">
        <f>Sheet1!H43</f>
        <v>-6739.9999999999991</v>
      </c>
      <c r="I6">
        <f>Sheet1!I43</f>
        <v>-3739.9999999999991</v>
      </c>
      <c r="J6">
        <f>Sheet1!J43</f>
        <v>-6739.9999999999991</v>
      </c>
      <c r="K6">
        <f>Sheet1!K43</f>
        <v>-3739.9999999999991</v>
      </c>
      <c r="L6">
        <f>Sheet1!L43</f>
        <v>0</v>
      </c>
      <c r="M6">
        <f>Sheet1!M43</f>
        <v>0</v>
      </c>
      <c r="N6">
        <f>Sheet1!N43</f>
        <v>-6739.9999999999991</v>
      </c>
      <c r="O6">
        <f>Sheet1!O43</f>
        <v>-3739.9999999999991</v>
      </c>
      <c r="P6">
        <f>Sheet1!P43</f>
        <v>-6739.9999999999991</v>
      </c>
      <c r="Q6">
        <f>Sheet1!Q43</f>
        <v>-3739.9999999999991</v>
      </c>
      <c r="R6">
        <f>Sheet1!R43</f>
        <v>-6739.9999999999991</v>
      </c>
      <c r="S6">
        <f>Sheet1!S43</f>
        <v>0</v>
      </c>
      <c r="T6">
        <f>Sheet1!T43</f>
        <v>0</v>
      </c>
      <c r="U6">
        <f>Sheet1!U43</f>
        <v>2</v>
      </c>
      <c r="V6">
        <f>Sheet1!V43</f>
        <v>0</v>
      </c>
    </row>
    <row r="7" spans="1:22" x14ac:dyDescent="0.2">
      <c r="A7" t="s">
        <v>132</v>
      </c>
      <c r="B7" t="s">
        <v>16</v>
      </c>
      <c r="C7">
        <f>Sheet1!C44</f>
        <v>34250</v>
      </c>
      <c r="D7">
        <f>Sheet1!D44</f>
        <v>25250</v>
      </c>
      <c r="E7">
        <f>Sheet1!E44</f>
        <v>0</v>
      </c>
      <c r="F7">
        <f>Sheet1!F44</f>
        <v>0</v>
      </c>
      <c r="G7">
        <f>Sheet1!G44</f>
        <v>20250</v>
      </c>
      <c r="H7">
        <f>Sheet1!H44</f>
        <v>17250</v>
      </c>
      <c r="I7">
        <f>Sheet1!I44</f>
        <v>14250</v>
      </c>
      <c r="J7">
        <f>Sheet1!J44</f>
        <v>11250</v>
      </c>
      <c r="K7">
        <f>Sheet1!K44</f>
        <v>8250</v>
      </c>
      <c r="L7">
        <f>Sheet1!L44</f>
        <v>0</v>
      </c>
      <c r="M7">
        <f>Sheet1!M44</f>
        <v>0</v>
      </c>
      <c r="N7">
        <f>Sheet1!N44</f>
        <v>5250</v>
      </c>
      <c r="O7">
        <f>Sheet1!O44</f>
        <v>2250</v>
      </c>
      <c r="P7">
        <f>Sheet1!P44</f>
        <v>-750</v>
      </c>
      <c r="Q7">
        <f>Sheet1!Q44</f>
        <v>26250</v>
      </c>
      <c r="R7">
        <f>Sheet1!R44</f>
        <v>23250</v>
      </c>
      <c r="S7">
        <f>Sheet1!S44</f>
        <v>0</v>
      </c>
      <c r="T7">
        <f>Sheet1!T44</f>
        <v>0</v>
      </c>
      <c r="U7">
        <f>Sheet1!U44</f>
        <v>10</v>
      </c>
      <c r="V7">
        <f>Sheet1!V44</f>
        <v>3</v>
      </c>
    </row>
    <row r="8" spans="1:22" x14ac:dyDescent="0.2">
      <c r="A8" t="s">
        <v>133</v>
      </c>
      <c r="B8" t="s">
        <v>17</v>
      </c>
      <c r="C8">
        <f>Sheet1!C45</f>
        <v>33300</v>
      </c>
      <c r="D8">
        <f>Sheet1!D45</f>
        <v>24300</v>
      </c>
      <c r="E8">
        <f>Sheet1!E45</f>
        <v>0</v>
      </c>
      <c r="F8">
        <f>Sheet1!F45</f>
        <v>0</v>
      </c>
      <c r="G8">
        <f>Sheet1!G45</f>
        <v>19300</v>
      </c>
      <c r="H8">
        <f>Sheet1!H45</f>
        <v>16300</v>
      </c>
      <c r="I8">
        <f>Sheet1!I45</f>
        <v>13300</v>
      </c>
      <c r="J8">
        <f>Sheet1!J45</f>
        <v>10300</v>
      </c>
      <c r="K8">
        <f>Sheet1!K45</f>
        <v>7300</v>
      </c>
      <c r="L8">
        <f>Sheet1!L45</f>
        <v>0</v>
      </c>
      <c r="M8">
        <f>Sheet1!M45</f>
        <v>0</v>
      </c>
      <c r="N8">
        <f>Sheet1!N45</f>
        <v>4300</v>
      </c>
      <c r="O8">
        <f>Sheet1!O45</f>
        <v>1300</v>
      </c>
      <c r="P8">
        <f>Sheet1!P45</f>
        <v>-1700</v>
      </c>
      <c r="Q8">
        <f>Sheet1!Q45</f>
        <v>25300</v>
      </c>
      <c r="R8">
        <f>Sheet1!R45</f>
        <v>22300</v>
      </c>
      <c r="S8">
        <f>Sheet1!S45</f>
        <v>0</v>
      </c>
      <c r="T8">
        <f>Sheet1!T45</f>
        <v>0</v>
      </c>
      <c r="U8">
        <f>Sheet1!U45</f>
        <v>10</v>
      </c>
      <c r="V8">
        <f>Sheet1!V45</f>
        <v>3</v>
      </c>
    </row>
    <row r="9" spans="1:22" x14ac:dyDescent="0.2">
      <c r="A9" t="s">
        <v>134</v>
      </c>
      <c r="B9" t="s">
        <v>18</v>
      </c>
      <c r="C9">
        <f>Sheet1!C46</f>
        <v>21450</v>
      </c>
      <c r="D9">
        <f>Sheet1!D46</f>
        <v>12450</v>
      </c>
      <c r="E9">
        <f>Sheet1!E46</f>
        <v>0</v>
      </c>
      <c r="F9">
        <f>Sheet1!F46</f>
        <v>0</v>
      </c>
      <c r="G9">
        <f>Sheet1!G46</f>
        <v>7450</v>
      </c>
      <c r="H9">
        <f>Sheet1!H46</f>
        <v>4450</v>
      </c>
      <c r="I9">
        <f>Sheet1!I46</f>
        <v>1450</v>
      </c>
      <c r="J9">
        <f>Sheet1!J46</f>
        <v>-1550</v>
      </c>
      <c r="K9">
        <f>Sheet1!K46</f>
        <v>-4550</v>
      </c>
      <c r="L9">
        <f>Sheet1!L46</f>
        <v>0</v>
      </c>
      <c r="M9">
        <f>Sheet1!M46</f>
        <v>0</v>
      </c>
      <c r="N9">
        <f>Sheet1!N46</f>
        <v>13450</v>
      </c>
      <c r="O9">
        <f>Sheet1!O46</f>
        <v>10450</v>
      </c>
      <c r="P9">
        <f>Sheet1!P46</f>
        <v>7450</v>
      </c>
      <c r="Q9">
        <f>Sheet1!Q46</f>
        <v>4450</v>
      </c>
      <c r="R9">
        <f>Sheet1!R46</f>
        <v>1450</v>
      </c>
      <c r="S9">
        <f>Sheet1!S46</f>
        <v>0</v>
      </c>
      <c r="T9">
        <f>Sheet1!T46</f>
        <v>0</v>
      </c>
      <c r="U9">
        <f>Sheet1!U46</f>
        <v>7</v>
      </c>
      <c r="V9">
        <f>Sheet1!V46</f>
        <v>3</v>
      </c>
    </row>
    <row r="10" spans="1:22" x14ac:dyDescent="0.2">
      <c r="A10" t="s">
        <v>135</v>
      </c>
      <c r="B10" t="s">
        <v>19</v>
      </c>
      <c r="C10">
        <f>Sheet1!C47</f>
        <v>8210</v>
      </c>
      <c r="D10">
        <f>Sheet1!D47</f>
        <v>-790</v>
      </c>
      <c r="E10">
        <f>Sheet1!E47</f>
        <v>0</v>
      </c>
      <c r="F10">
        <f>Sheet1!F47</f>
        <v>0</v>
      </c>
      <c r="G10">
        <f>Sheet1!G47</f>
        <v>-5790</v>
      </c>
      <c r="H10">
        <f>Sheet1!H47</f>
        <v>210</v>
      </c>
      <c r="I10">
        <f>Sheet1!I47</f>
        <v>-2790</v>
      </c>
      <c r="J10">
        <f>Sheet1!J47</f>
        <v>-5790</v>
      </c>
      <c r="K10">
        <f>Sheet1!K47</f>
        <v>210</v>
      </c>
      <c r="L10">
        <f>Sheet1!L47</f>
        <v>0</v>
      </c>
      <c r="M10">
        <f>Sheet1!M47</f>
        <v>0</v>
      </c>
      <c r="N10">
        <f>Sheet1!N47</f>
        <v>-2790</v>
      </c>
      <c r="O10">
        <f>Sheet1!O47</f>
        <v>-5790</v>
      </c>
      <c r="P10">
        <f>Sheet1!P47</f>
        <v>210</v>
      </c>
      <c r="Q10">
        <f>Sheet1!Q47</f>
        <v>-2790</v>
      </c>
      <c r="R10">
        <f>Sheet1!R47</f>
        <v>-5790</v>
      </c>
      <c r="S10">
        <f>Sheet1!S47</f>
        <v>0</v>
      </c>
      <c r="T10">
        <f>Sheet1!T47</f>
        <v>0</v>
      </c>
      <c r="U10">
        <f>Sheet1!U47</f>
        <v>3</v>
      </c>
      <c r="V10">
        <f>Sheet1!V47</f>
        <v>0</v>
      </c>
    </row>
    <row r="11" spans="1:22" x14ac:dyDescent="0.2">
      <c r="A11" t="s">
        <v>136</v>
      </c>
      <c r="B11" t="s">
        <v>20</v>
      </c>
      <c r="C11">
        <f>Sheet1!C48</f>
        <v>19410</v>
      </c>
      <c r="D11">
        <f>Sheet1!D48</f>
        <v>10410</v>
      </c>
      <c r="E11">
        <f>Sheet1!E48</f>
        <v>0</v>
      </c>
      <c r="F11">
        <f>Sheet1!F48</f>
        <v>0</v>
      </c>
      <c r="G11">
        <f>Sheet1!G48</f>
        <v>5410</v>
      </c>
      <c r="H11">
        <f>Sheet1!H48</f>
        <v>2410</v>
      </c>
      <c r="I11">
        <f>Sheet1!I48</f>
        <v>-590</v>
      </c>
      <c r="J11">
        <f>Sheet1!J48</f>
        <v>-3590</v>
      </c>
      <c r="K11">
        <f>Sheet1!K48</f>
        <v>-6590</v>
      </c>
      <c r="L11">
        <f>Sheet1!L48</f>
        <v>0</v>
      </c>
      <c r="M11">
        <f>Sheet1!M48</f>
        <v>0</v>
      </c>
      <c r="N11">
        <f>Sheet1!N48</f>
        <v>11410</v>
      </c>
      <c r="O11">
        <f>Sheet1!O48</f>
        <v>8410</v>
      </c>
      <c r="P11">
        <f>Sheet1!P48</f>
        <v>5410</v>
      </c>
      <c r="Q11">
        <f>Sheet1!Q48</f>
        <v>2410</v>
      </c>
      <c r="R11">
        <f>Sheet1!R48</f>
        <v>-590</v>
      </c>
      <c r="S11">
        <f>Sheet1!S48</f>
        <v>0</v>
      </c>
      <c r="T11">
        <f>Sheet1!T48</f>
        <v>0</v>
      </c>
      <c r="U11">
        <f>Sheet1!U48</f>
        <v>7</v>
      </c>
      <c r="V11">
        <f>Sheet1!V48</f>
        <v>3</v>
      </c>
    </row>
    <row r="12" spans="1:22" x14ac:dyDescent="0.2">
      <c r="A12" t="s">
        <v>137</v>
      </c>
      <c r="B12" t="s">
        <v>21</v>
      </c>
      <c r="C12">
        <f>Sheet1!C49</f>
        <v>8000</v>
      </c>
      <c r="D12">
        <f>Sheet1!D49</f>
        <v>-1000</v>
      </c>
      <c r="E12">
        <f>Sheet1!E49</f>
        <v>0</v>
      </c>
      <c r="F12">
        <f>Sheet1!F49</f>
        <v>0</v>
      </c>
      <c r="G12">
        <f>Sheet1!G49</f>
        <v>-6000</v>
      </c>
      <c r="H12">
        <f>Sheet1!H49</f>
        <v>0</v>
      </c>
      <c r="I12">
        <f>Sheet1!I49</f>
        <v>-3000</v>
      </c>
      <c r="J12">
        <f>Sheet1!J49</f>
        <v>-6000</v>
      </c>
      <c r="K12">
        <f>Sheet1!K49</f>
        <v>0</v>
      </c>
      <c r="L12">
        <f>Sheet1!L49</f>
        <v>0</v>
      </c>
      <c r="M12">
        <f>Sheet1!M49</f>
        <v>0</v>
      </c>
      <c r="N12">
        <f>Sheet1!N49</f>
        <v>-3000</v>
      </c>
      <c r="O12">
        <f>Sheet1!O49</f>
        <v>-6000</v>
      </c>
      <c r="P12">
        <f>Sheet1!P49</f>
        <v>0</v>
      </c>
      <c r="Q12">
        <f>Sheet1!Q49</f>
        <v>-3000</v>
      </c>
      <c r="R12">
        <f>Sheet1!R49</f>
        <v>-6000</v>
      </c>
      <c r="S12">
        <f>Sheet1!S49</f>
        <v>0</v>
      </c>
      <c r="T12">
        <f>Sheet1!T49</f>
        <v>0</v>
      </c>
      <c r="U12">
        <f>Sheet1!U49</f>
        <v>3</v>
      </c>
      <c r="V12">
        <f>Sheet1!V49</f>
        <v>1</v>
      </c>
    </row>
    <row r="13" spans="1:22" x14ac:dyDescent="0.2">
      <c r="A13" t="s">
        <v>138</v>
      </c>
      <c r="B13" t="s">
        <v>22</v>
      </c>
      <c r="C13">
        <f>Sheet1!C50</f>
        <v>4840</v>
      </c>
      <c r="D13">
        <f>Sheet1!D50</f>
        <v>-4160</v>
      </c>
      <c r="E13">
        <f>Sheet1!E50</f>
        <v>0</v>
      </c>
      <c r="F13">
        <f>Sheet1!F50</f>
        <v>0</v>
      </c>
      <c r="G13">
        <f>Sheet1!G50</f>
        <v>-3160</v>
      </c>
      <c r="H13">
        <f>Sheet1!H50</f>
        <v>-6160</v>
      </c>
      <c r="I13">
        <f>Sheet1!I50</f>
        <v>-3160</v>
      </c>
      <c r="J13">
        <f>Sheet1!J50</f>
        <v>-6160</v>
      </c>
      <c r="K13">
        <f>Sheet1!K50</f>
        <v>-3160</v>
      </c>
      <c r="L13">
        <f>Sheet1!L50</f>
        <v>0</v>
      </c>
      <c r="M13">
        <f>Sheet1!M50</f>
        <v>0</v>
      </c>
      <c r="N13">
        <f>Sheet1!N50</f>
        <v>-6160</v>
      </c>
      <c r="O13">
        <f>Sheet1!O50</f>
        <v>-3160</v>
      </c>
      <c r="P13">
        <f>Sheet1!P50</f>
        <v>-6160</v>
      </c>
      <c r="Q13">
        <f>Sheet1!Q50</f>
        <v>-3160</v>
      </c>
      <c r="R13">
        <f>Sheet1!R50</f>
        <v>-6160</v>
      </c>
      <c r="S13">
        <f>Sheet1!S50</f>
        <v>0</v>
      </c>
      <c r="T13">
        <f>Sheet1!T50</f>
        <v>0</v>
      </c>
      <c r="U13">
        <f>Sheet1!U50</f>
        <v>2</v>
      </c>
      <c r="V13">
        <f>Sheet1!V50</f>
        <v>0</v>
      </c>
    </row>
    <row r="14" spans="1:22" x14ac:dyDescent="0.2">
      <c r="A14" t="s">
        <v>139</v>
      </c>
      <c r="B14" t="s">
        <v>23</v>
      </c>
      <c r="C14">
        <f>Sheet1!C51</f>
        <v>4530</v>
      </c>
      <c r="D14">
        <f>Sheet1!D51</f>
        <v>-4470</v>
      </c>
      <c r="E14">
        <f>Sheet1!E51</f>
        <v>0</v>
      </c>
      <c r="F14">
        <f>Sheet1!F51</f>
        <v>0</v>
      </c>
      <c r="G14">
        <f>Sheet1!G51</f>
        <v>-3470</v>
      </c>
      <c r="H14">
        <f>Sheet1!H51</f>
        <v>-6470</v>
      </c>
      <c r="I14">
        <f>Sheet1!I51</f>
        <v>-3470</v>
      </c>
      <c r="J14">
        <f>Sheet1!J51</f>
        <v>-6470</v>
      </c>
      <c r="K14">
        <f>Sheet1!K51</f>
        <v>-3470</v>
      </c>
      <c r="L14">
        <f>Sheet1!L51</f>
        <v>0</v>
      </c>
      <c r="M14">
        <f>Sheet1!M51</f>
        <v>0</v>
      </c>
      <c r="N14">
        <f>Sheet1!N51</f>
        <v>-6470</v>
      </c>
      <c r="O14">
        <f>Sheet1!O51</f>
        <v>-3470</v>
      </c>
      <c r="P14">
        <f>Sheet1!P51</f>
        <v>-6470</v>
      </c>
      <c r="Q14">
        <f>Sheet1!Q51</f>
        <v>-3470</v>
      </c>
      <c r="R14">
        <f>Sheet1!R51</f>
        <v>-6470</v>
      </c>
      <c r="S14">
        <f>Sheet1!S51</f>
        <v>0</v>
      </c>
      <c r="T14">
        <f>Sheet1!T51</f>
        <v>0</v>
      </c>
      <c r="U14">
        <f>Sheet1!U51</f>
        <v>2</v>
      </c>
      <c r="V14">
        <f>Sheet1!V51</f>
        <v>0</v>
      </c>
    </row>
    <row r="15" spans="1:22" x14ac:dyDescent="0.2">
      <c r="A15" t="s">
        <v>140</v>
      </c>
      <c r="B15" t="s">
        <v>24</v>
      </c>
      <c r="C15">
        <f>Sheet1!C52</f>
        <v>8000</v>
      </c>
      <c r="D15">
        <f>Sheet1!D52</f>
        <v>-1000</v>
      </c>
      <c r="E15">
        <f>Sheet1!E52</f>
        <v>0</v>
      </c>
      <c r="F15">
        <f>Sheet1!F52</f>
        <v>0</v>
      </c>
      <c r="G15">
        <f>Sheet1!G52</f>
        <v>-6000</v>
      </c>
      <c r="H15">
        <f>Sheet1!H52</f>
        <v>0</v>
      </c>
      <c r="I15">
        <f>Sheet1!I52</f>
        <v>-3000</v>
      </c>
      <c r="J15">
        <f>Sheet1!J52</f>
        <v>-6000</v>
      </c>
      <c r="K15">
        <f>Sheet1!K52</f>
        <v>0</v>
      </c>
      <c r="L15">
        <f>Sheet1!L52</f>
        <v>0</v>
      </c>
      <c r="M15">
        <f>Sheet1!M52</f>
        <v>0</v>
      </c>
      <c r="N15">
        <f>Sheet1!N52</f>
        <v>-3000</v>
      </c>
      <c r="O15">
        <f>Sheet1!O52</f>
        <v>-6000</v>
      </c>
      <c r="P15">
        <f>Sheet1!P52</f>
        <v>0</v>
      </c>
      <c r="Q15">
        <f>Sheet1!Q52</f>
        <v>-3000</v>
      </c>
      <c r="R15">
        <f>Sheet1!R52</f>
        <v>-6000</v>
      </c>
      <c r="S15">
        <f>Sheet1!S52</f>
        <v>0</v>
      </c>
      <c r="T15">
        <f>Sheet1!T52</f>
        <v>0</v>
      </c>
      <c r="U15">
        <f>Sheet1!U52</f>
        <v>3</v>
      </c>
      <c r="V15">
        <f>Sheet1!V52</f>
        <v>1</v>
      </c>
    </row>
    <row r="16" spans="1:22" x14ac:dyDescent="0.2">
      <c r="A16" t="s">
        <v>141</v>
      </c>
      <c r="B16" t="s">
        <v>25</v>
      </c>
      <c r="C16">
        <f>Sheet1!C53</f>
        <v>4300</v>
      </c>
      <c r="D16">
        <f>Sheet1!D53</f>
        <v>-4700</v>
      </c>
      <c r="E16">
        <f>Sheet1!E53</f>
        <v>0</v>
      </c>
      <c r="F16">
        <f>Sheet1!F53</f>
        <v>0</v>
      </c>
      <c r="G16">
        <f>Sheet1!G53</f>
        <v>-3700</v>
      </c>
      <c r="H16">
        <f>Sheet1!H53</f>
        <v>-6700</v>
      </c>
      <c r="I16">
        <f>Sheet1!I53</f>
        <v>-3700</v>
      </c>
      <c r="J16">
        <f>Sheet1!J53</f>
        <v>-6700</v>
      </c>
      <c r="K16">
        <f>Sheet1!K53</f>
        <v>-3700</v>
      </c>
      <c r="L16">
        <f>Sheet1!L53</f>
        <v>0</v>
      </c>
      <c r="M16">
        <f>Sheet1!M53</f>
        <v>0</v>
      </c>
      <c r="N16">
        <f>Sheet1!N53</f>
        <v>-6700</v>
      </c>
      <c r="O16">
        <f>Sheet1!O53</f>
        <v>-3700</v>
      </c>
      <c r="P16">
        <f>Sheet1!P53</f>
        <v>-6700</v>
      </c>
      <c r="Q16">
        <f>Sheet1!Q53</f>
        <v>-3700</v>
      </c>
      <c r="R16">
        <f>Sheet1!R53</f>
        <v>-6700</v>
      </c>
      <c r="S16">
        <f>Sheet1!S53</f>
        <v>0</v>
      </c>
      <c r="T16">
        <f>Sheet1!T53</f>
        <v>0</v>
      </c>
      <c r="U16">
        <f>Sheet1!U53</f>
        <v>2</v>
      </c>
      <c r="V16">
        <f>Sheet1!V53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777EB6864FE418DF30D4FF9FA0490" ma:contentTypeVersion="3" ma:contentTypeDescription="Create a new document." ma:contentTypeScope="" ma:versionID="98a405c4e0583bfcd97f27b188cadb94">
  <xsd:schema xmlns:xsd="http://www.w3.org/2001/XMLSchema" xmlns:xs="http://www.w3.org/2001/XMLSchema" xmlns:p="http://schemas.microsoft.com/office/2006/metadata/properties" xmlns:ns2="7468b931-add7-4fec-b4eb-a7ddc311f1a2" targetNamespace="http://schemas.microsoft.com/office/2006/metadata/properties" ma:root="true" ma:fieldsID="84df2d1a37677aab325f513a90fe01f0" ns2:_="">
    <xsd:import namespace="7468b931-add7-4fec-b4eb-a7ddc311f1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8b931-add7-4fec-b4eb-a7ddc311f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1FC59C-27B6-4B84-B86F-3D3C41D10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6F3F4-BBCB-45D9-8729-3D84A5230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68b931-add7-4fec-b4eb-a7ddc311f1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C96B8-3C35-4A3E-9283-BE871B7265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Current Open Orders</vt:lpstr>
      <vt:lpstr>Historical Orders</vt:lpstr>
      <vt:lpstr>FG_Projected_supply</vt:lpstr>
      <vt:lpstr>FG_allocation</vt:lpstr>
      <vt:lpstr>Daily Production Schedule</vt:lpstr>
      <vt:lpstr>production_parameters</vt:lpstr>
      <vt:lpstr>BOM</vt:lpstr>
      <vt:lpstr>RM_projected_supply</vt:lpstr>
      <vt:lpstr>sourcing_parameters</vt:lpstr>
      <vt:lpstr>Penalty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M, Micheal</dc:creator>
  <cp:lastModifiedBy>SANTHOSH RAJ S</cp:lastModifiedBy>
  <dcterms:created xsi:type="dcterms:W3CDTF">2015-06-05T18:19:34Z</dcterms:created>
  <dcterms:modified xsi:type="dcterms:W3CDTF">2025-12-29T07:52:47Z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0x010100CA6777EB6864FE418DF30D4FF9FA0490</vt:lpwstr>
  </property>
</Properties>
</file>